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DQWM06BU79TA00TG9ZR8RLJZ7ZCMOXVRES0XHJDWXF88TELTZRBRVC0HFS6TP8IRAXMXOOLRZIW78LNJRNFTKFFV8RZMWLCBAXOODHB359E41342533A668B6C773C01FC062B56" Type="http://schemas.microsoft.com/office/2006/relationships/officeDocumentMain" Target="docProps/core.xml"/><Relationship Id="CQWFK6GE796Q05HG9ZR8MLJB7NMMOXPRES0XNJDWXGORTQ5TZ7BRVC0CFS6HPCRRXEMXJOL9ZHK78LXJQJFTRFFW89CMWIWBANOD0HB3CC85E9EFFD53CAB3B26441F464AD5CAE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公司\研究\指数策略\【国联民生金工】市场研判&amp;胜率赔率\"/>
    </mc:Choice>
  </mc:AlternateContent>
  <xr:revisionPtr revIDLastSave="0" documentId="13_ncr:1_{E58B729B-1BD6-436F-8161-A77986EF1830}" xr6:coauthVersionLast="47" xr6:coauthVersionMax="47" xr10:uidLastSave="{00000000-0000-0000-0000-000000000000}"/>
  <bookViews>
    <workbookView xWindow="-98" yWindow="-98" windowWidth="23236" windowHeight="13875" firstSheet="3" activeTab="11" xr2:uid="{00000000-000D-0000-FFFF-FFFF00000000}"/>
  </bookViews>
  <sheets>
    <sheet name="nv" sheetId="1" r:id="rId1"/>
    <sheet name="select" sheetId="2" r:id="rId2"/>
    <sheet name="spread_gf" sheetId="8" r:id="rId3"/>
    <sheet name="spread_g" sheetId="3" r:id="rId4"/>
    <sheet name="spread_ROE" sheetId="9" r:id="rId5"/>
    <sheet name="crowd_ROE" sheetId="6" r:id="rId6"/>
    <sheet name="crowd_DP" sheetId="10" r:id="rId7"/>
    <sheet name="nv_stra" sheetId="11" r:id="rId8"/>
    <sheet name="recommend" sheetId="12" r:id="rId9"/>
    <sheet name="Sheet1" sheetId="14" state="hidden" r:id="rId10"/>
    <sheet name="view" sheetId="13" r:id="rId11"/>
    <sheet name="exp" sheetId="15" r:id="rId12"/>
  </sheets>
  <externalReferences>
    <externalReference r:id="rId13"/>
  </externalReferences>
  <definedNames>
    <definedName name="_xlnm._FilterDatabase" localSheetId="9" hidden="1">Sheet1!$A$6:$C$6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3" i="15" l="1"/>
  <c r="C203" i="15"/>
  <c r="D202" i="15"/>
  <c r="C202" i="15"/>
  <c r="D201" i="15"/>
  <c r="C201" i="15"/>
  <c r="D200" i="15"/>
  <c r="C200" i="15"/>
  <c r="D199" i="15"/>
  <c r="C199" i="15"/>
  <c r="D198" i="15"/>
  <c r="C198" i="15"/>
  <c r="D197" i="15"/>
  <c r="C197" i="15"/>
  <c r="D196" i="15"/>
  <c r="C196" i="15"/>
  <c r="D195" i="15"/>
  <c r="C195" i="15"/>
  <c r="D194" i="15"/>
  <c r="C194" i="15"/>
  <c r="D193" i="15"/>
  <c r="C193" i="15"/>
  <c r="D192" i="15"/>
  <c r="C192" i="15"/>
  <c r="D191" i="15"/>
  <c r="C191" i="15"/>
  <c r="D190" i="15"/>
  <c r="C190" i="15"/>
  <c r="D189" i="15"/>
  <c r="C189" i="15"/>
  <c r="D188" i="15"/>
  <c r="C188" i="15"/>
  <c r="D187" i="15"/>
  <c r="C187" i="15"/>
  <c r="D186" i="15"/>
  <c r="C186" i="15"/>
  <c r="D185" i="15"/>
  <c r="C185" i="15"/>
  <c r="D184" i="15"/>
  <c r="C184" i="15"/>
  <c r="D183" i="15"/>
  <c r="C183" i="15"/>
  <c r="D182" i="15"/>
  <c r="C182" i="15"/>
  <c r="D181" i="15"/>
  <c r="C181" i="15"/>
  <c r="D180" i="15"/>
  <c r="C180" i="15"/>
  <c r="D179" i="15"/>
  <c r="C179" i="15"/>
  <c r="D178" i="15"/>
  <c r="C178" i="15"/>
  <c r="D177" i="15"/>
  <c r="C177" i="15"/>
  <c r="D176" i="15"/>
  <c r="C176" i="15"/>
  <c r="D175" i="15"/>
  <c r="C175" i="15"/>
  <c r="D174" i="15"/>
  <c r="C174" i="15"/>
  <c r="D173" i="15"/>
  <c r="C173" i="15"/>
  <c r="D172" i="15"/>
  <c r="C172" i="15"/>
  <c r="D171" i="15"/>
  <c r="C171" i="15"/>
  <c r="D170" i="15"/>
  <c r="C170" i="15"/>
  <c r="D169" i="15"/>
  <c r="C169" i="15"/>
  <c r="D168" i="15"/>
  <c r="C168" i="15"/>
  <c r="D167" i="15"/>
  <c r="C167" i="15"/>
  <c r="D166" i="15"/>
  <c r="C166" i="15"/>
  <c r="D165" i="15"/>
  <c r="C165" i="15"/>
  <c r="D164" i="15"/>
  <c r="C164" i="15"/>
  <c r="D163" i="15"/>
  <c r="C163" i="15"/>
  <c r="D162" i="15"/>
  <c r="C162" i="15"/>
  <c r="D161" i="15"/>
  <c r="C161" i="15"/>
  <c r="D160" i="15"/>
  <c r="C160" i="15"/>
  <c r="D159" i="15"/>
  <c r="C159" i="15"/>
  <c r="D158" i="15"/>
  <c r="C158" i="15"/>
  <c r="D157" i="15"/>
  <c r="C157" i="15"/>
  <c r="D156" i="15"/>
  <c r="C156" i="15"/>
  <c r="D155" i="15"/>
  <c r="C155" i="15"/>
  <c r="D154" i="15"/>
  <c r="C154" i="15"/>
  <c r="D153" i="15"/>
  <c r="C153" i="15"/>
  <c r="D152" i="15"/>
  <c r="C152" i="15"/>
  <c r="D151" i="15"/>
  <c r="C151" i="15"/>
  <c r="D150" i="15"/>
  <c r="C150" i="15"/>
  <c r="D149" i="15"/>
  <c r="C149" i="15"/>
  <c r="D148" i="15"/>
  <c r="C148" i="15"/>
  <c r="D147" i="15"/>
  <c r="C147" i="15"/>
  <c r="D146" i="15"/>
  <c r="C146" i="15"/>
  <c r="D145" i="15"/>
  <c r="C145" i="15"/>
  <c r="D144" i="15"/>
  <c r="C144" i="15"/>
  <c r="D143" i="15"/>
  <c r="C143" i="15"/>
  <c r="D142" i="15"/>
  <c r="C142" i="15"/>
  <c r="D141" i="15"/>
  <c r="C141" i="15"/>
  <c r="D140" i="15"/>
  <c r="C140" i="15"/>
  <c r="D139" i="15"/>
  <c r="C139" i="15"/>
  <c r="D138" i="15"/>
  <c r="C138" i="15"/>
  <c r="D137" i="15"/>
  <c r="C137" i="15"/>
  <c r="D136" i="15"/>
  <c r="C136" i="15"/>
  <c r="D135" i="15"/>
  <c r="C135" i="15"/>
  <c r="D134" i="15"/>
  <c r="C134" i="15"/>
  <c r="D133" i="15"/>
  <c r="C133" i="15"/>
  <c r="D132" i="15"/>
  <c r="C132" i="15"/>
  <c r="D131" i="15"/>
  <c r="C131" i="15"/>
  <c r="D130" i="15"/>
  <c r="C130" i="15"/>
  <c r="D129" i="15"/>
  <c r="C129" i="15"/>
  <c r="D128" i="15"/>
  <c r="C128" i="15"/>
  <c r="D127" i="15"/>
  <c r="C127" i="15"/>
  <c r="D126" i="15"/>
  <c r="C126" i="15"/>
  <c r="D125" i="15"/>
  <c r="C125" i="15"/>
  <c r="D124" i="15"/>
  <c r="C124" i="15"/>
  <c r="D123" i="15"/>
  <c r="C123" i="15"/>
  <c r="D122" i="15"/>
  <c r="C122" i="15"/>
  <c r="D121" i="15"/>
  <c r="C121" i="15"/>
  <c r="D120" i="15"/>
  <c r="C120" i="15"/>
  <c r="D119" i="15"/>
  <c r="C119" i="15"/>
  <c r="D118" i="15"/>
  <c r="C118" i="15"/>
  <c r="D117" i="15"/>
  <c r="C117" i="15"/>
  <c r="D116" i="15"/>
  <c r="C116" i="15"/>
  <c r="D115" i="15"/>
  <c r="C115" i="15"/>
  <c r="D114" i="15"/>
  <c r="C114" i="15"/>
  <c r="D113" i="15"/>
  <c r="C113" i="15"/>
  <c r="D112" i="15"/>
  <c r="C112" i="15"/>
  <c r="D111" i="15"/>
  <c r="C111" i="15"/>
  <c r="D110" i="15"/>
  <c r="C110" i="15"/>
  <c r="D109" i="15"/>
  <c r="C109" i="15"/>
  <c r="D108" i="15"/>
  <c r="C108" i="15"/>
  <c r="D107" i="15"/>
  <c r="C107" i="15"/>
  <c r="D106" i="15"/>
  <c r="C106" i="15"/>
  <c r="D105" i="15"/>
  <c r="C105" i="15"/>
  <c r="D104" i="15"/>
  <c r="C104" i="15"/>
  <c r="D103" i="15"/>
  <c r="C103" i="15"/>
  <c r="D102" i="15"/>
  <c r="C102" i="15"/>
  <c r="D101" i="15"/>
  <c r="C101" i="15"/>
  <c r="D100" i="15"/>
  <c r="C100" i="15"/>
  <c r="D99" i="15"/>
  <c r="C99" i="15"/>
  <c r="D98" i="15"/>
  <c r="C98" i="15"/>
  <c r="D97" i="15"/>
  <c r="C97" i="15"/>
  <c r="D96" i="15"/>
  <c r="C96" i="15"/>
  <c r="D95" i="15"/>
  <c r="C95" i="15"/>
  <c r="D94" i="15"/>
  <c r="C94" i="15"/>
  <c r="D93" i="15"/>
  <c r="C93" i="15"/>
  <c r="D92" i="15"/>
  <c r="C92" i="15"/>
  <c r="D91" i="15"/>
  <c r="C91" i="15"/>
  <c r="D90" i="15"/>
  <c r="C90" i="15"/>
  <c r="D89" i="15"/>
  <c r="C89" i="15"/>
  <c r="D88" i="15"/>
  <c r="C88" i="15"/>
  <c r="D87" i="15"/>
  <c r="C87" i="15"/>
  <c r="D86" i="15"/>
  <c r="C86" i="15"/>
  <c r="D85" i="15"/>
  <c r="C85" i="15"/>
  <c r="D84" i="15"/>
  <c r="C84" i="15"/>
  <c r="D83" i="15"/>
  <c r="C83" i="15"/>
  <c r="D82" i="15"/>
  <c r="C82" i="15"/>
  <c r="D81" i="15"/>
  <c r="C81" i="15"/>
  <c r="D80" i="15"/>
  <c r="C80" i="15"/>
  <c r="D79" i="15"/>
  <c r="C79" i="15"/>
  <c r="D78" i="15"/>
  <c r="C78" i="15"/>
  <c r="D77" i="15"/>
  <c r="C77" i="15"/>
  <c r="D76" i="15"/>
  <c r="C76" i="15"/>
  <c r="D75" i="15"/>
  <c r="C75" i="15"/>
  <c r="D74" i="15"/>
  <c r="C74" i="15"/>
  <c r="D73" i="15"/>
  <c r="C73" i="15"/>
  <c r="D72" i="15"/>
  <c r="C72" i="15"/>
  <c r="D71" i="15"/>
  <c r="C71" i="15"/>
  <c r="D70" i="15"/>
  <c r="C70" i="15"/>
  <c r="D69" i="15"/>
  <c r="C69" i="15"/>
  <c r="D68" i="15"/>
  <c r="C68" i="15"/>
  <c r="D67" i="15"/>
  <c r="C67" i="15"/>
  <c r="D66" i="15"/>
  <c r="C66" i="15"/>
  <c r="D65" i="15"/>
  <c r="C65" i="15"/>
  <c r="D64" i="15"/>
  <c r="C64" i="15"/>
  <c r="D63" i="15"/>
  <c r="C63" i="15"/>
  <c r="D62" i="15"/>
  <c r="C62" i="15"/>
  <c r="D61" i="15"/>
  <c r="C61" i="15"/>
  <c r="D60" i="15"/>
  <c r="C60" i="15"/>
  <c r="D59" i="15"/>
  <c r="C59" i="15"/>
  <c r="D58" i="15"/>
  <c r="C58" i="15"/>
  <c r="D57" i="15"/>
  <c r="C57" i="15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D43" i="15"/>
  <c r="C43" i="15"/>
  <c r="D42" i="15"/>
  <c r="C42" i="15"/>
  <c r="D41" i="15"/>
  <c r="C41" i="15"/>
  <c r="D40" i="15"/>
  <c r="C40" i="15"/>
  <c r="D39" i="15"/>
  <c r="C39" i="15"/>
  <c r="D38" i="15"/>
  <c r="C38" i="15"/>
  <c r="D37" i="15"/>
  <c r="C37" i="15"/>
  <c r="D36" i="15"/>
  <c r="C36" i="15"/>
  <c r="D35" i="15"/>
  <c r="C35" i="15"/>
  <c r="D34" i="15"/>
  <c r="C34" i="15"/>
  <c r="D33" i="15"/>
  <c r="C33" i="15"/>
  <c r="D32" i="15"/>
  <c r="C32" i="15"/>
  <c r="D31" i="15"/>
  <c r="C31" i="15"/>
  <c r="D30" i="15"/>
  <c r="C30" i="15"/>
  <c r="D29" i="15"/>
  <c r="C29" i="15"/>
  <c r="D28" i="15"/>
  <c r="C28" i="15"/>
  <c r="D27" i="15"/>
  <c r="C27" i="15"/>
  <c r="D26" i="15"/>
  <c r="C26" i="15"/>
  <c r="D25" i="15"/>
  <c r="C25" i="15"/>
  <c r="D24" i="15"/>
  <c r="C24" i="15"/>
  <c r="D23" i="15"/>
  <c r="C23" i="15"/>
  <c r="D22" i="15"/>
  <c r="C22" i="15"/>
  <c r="D21" i="15"/>
  <c r="C21" i="15"/>
  <c r="D20" i="15"/>
  <c r="C20" i="15"/>
  <c r="D19" i="15"/>
  <c r="C19" i="15"/>
  <c r="D18" i="15"/>
  <c r="C18" i="15"/>
  <c r="D17" i="15"/>
  <c r="C17" i="15"/>
  <c r="D16" i="15"/>
  <c r="C16" i="15"/>
  <c r="D15" i="15"/>
  <c r="C15" i="15"/>
  <c r="D14" i="15"/>
  <c r="C14" i="15"/>
  <c r="D13" i="15"/>
  <c r="C13" i="15"/>
  <c r="D12" i="15"/>
  <c r="C12" i="15"/>
  <c r="D11" i="15"/>
  <c r="C11" i="15"/>
  <c r="D10" i="15"/>
  <c r="C10" i="15"/>
  <c r="D9" i="15"/>
  <c r="C9" i="15"/>
  <c r="D8" i="15"/>
  <c r="C8" i="15"/>
  <c r="D7" i="15"/>
  <c r="C7" i="15"/>
  <c r="D6" i="15"/>
  <c r="C6" i="15"/>
  <c r="D5" i="15"/>
  <c r="C5" i="15"/>
  <c r="D4" i="15"/>
  <c r="C4" i="15"/>
  <c r="D3" i="15"/>
  <c r="C3" i="15"/>
  <c r="D2" i="15"/>
  <c r="C2" i="15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L36" i="14"/>
  <c r="H36" i="14"/>
  <c r="L35" i="14"/>
  <c r="H35" i="14"/>
  <c r="L34" i="14"/>
  <c r="H34" i="14"/>
  <c r="L33" i="14"/>
  <c r="H33" i="14"/>
  <c r="L32" i="14"/>
  <c r="H32" i="14"/>
  <c r="L31" i="14"/>
  <c r="H31" i="14"/>
  <c r="L30" i="14"/>
  <c r="H30" i="14"/>
  <c r="L29" i="14"/>
  <c r="H29" i="14"/>
  <c r="L28" i="14"/>
  <c r="H28" i="14"/>
  <c r="L27" i="14"/>
  <c r="H27" i="14"/>
  <c r="L26" i="14"/>
  <c r="H26" i="14"/>
  <c r="L25" i="14"/>
  <c r="H25" i="14"/>
  <c r="L24" i="14"/>
  <c r="H24" i="14"/>
  <c r="L23" i="14"/>
  <c r="H23" i="14"/>
  <c r="L22" i="14"/>
  <c r="H22" i="14"/>
  <c r="L21" i="14"/>
  <c r="H21" i="14"/>
  <c r="L20" i="14"/>
  <c r="H20" i="14"/>
  <c r="L19" i="14"/>
  <c r="H19" i="14"/>
  <c r="L18" i="14"/>
  <c r="H18" i="14"/>
  <c r="L17" i="14"/>
  <c r="H17" i="14"/>
  <c r="T16" i="14"/>
  <c r="L16" i="14"/>
  <c r="H16" i="14"/>
  <c r="T15" i="14"/>
  <c r="L15" i="14"/>
  <c r="H15" i="14"/>
  <c r="T14" i="14"/>
  <c r="L14" i="14"/>
  <c r="H14" i="14"/>
  <c r="T13" i="14"/>
  <c r="L13" i="14"/>
  <c r="H13" i="14"/>
  <c r="T12" i="14"/>
  <c r="P12" i="14"/>
  <c r="L12" i="14"/>
  <c r="H12" i="14"/>
  <c r="T11" i="14"/>
  <c r="P11" i="14"/>
  <c r="L11" i="14"/>
  <c r="H11" i="14"/>
  <c r="T10" i="14"/>
  <c r="P10" i="14"/>
  <c r="L10" i="14"/>
  <c r="H10" i="14"/>
  <c r="T9" i="14"/>
  <c r="P9" i="14"/>
  <c r="L9" i="14"/>
  <c r="H9" i="14"/>
  <c r="D9" i="14"/>
  <c r="T8" i="14"/>
  <c r="P8" i="14"/>
  <c r="L8" i="14"/>
  <c r="H8" i="14"/>
  <c r="D8" i="14"/>
  <c r="G23" i="12"/>
  <c r="A23" i="12"/>
  <c r="G22" i="12"/>
  <c r="I22" i="12" s="1"/>
  <c r="A22" i="12"/>
  <c r="G21" i="12"/>
  <c r="A21" i="12"/>
  <c r="G20" i="12"/>
  <c r="A20" i="12"/>
  <c r="G19" i="12"/>
  <c r="I19" i="12" s="1"/>
  <c r="A19" i="12"/>
  <c r="C19" i="12" s="1"/>
  <c r="G15" i="12"/>
  <c r="A15" i="12"/>
  <c r="C15" i="12" s="1"/>
  <c r="G14" i="12"/>
  <c r="I14" i="12" s="1"/>
  <c r="A14" i="12"/>
  <c r="C14" i="12" s="1"/>
  <c r="G13" i="12"/>
  <c r="I13" i="12" s="1"/>
  <c r="A13" i="12"/>
  <c r="G12" i="12"/>
  <c r="I12" i="12" s="1"/>
  <c r="A12" i="12"/>
  <c r="C12" i="12" s="1"/>
  <c r="G11" i="12"/>
  <c r="I11" i="12" s="1"/>
  <c r="A11" i="12"/>
  <c r="G7" i="12"/>
  <c r="A7" i="12"/>
  <c r="G6" i="12"/>
  <c r="A6" i="12"/>
  <c r="G5" i="12"/>
  <c r="A5" i="12"/>
  <c r="G4" i="12"/>
  <c r="A4" i="12"/>
  <c r="G3" i="12"/>
  <c r="A3" i="12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219" i="11"/>
  <c r="J219" i="11"/>
  <c r="K219" i="11"/>
  <c r="L219" i="11"/>
  <c r="M219" i="11"/>
  <c r="N219" i="11"/>
  <c r="O219" i="11"/>
  <c r="M38" i="1"/>
  <c r="L19" i="1"/>
  <c r="D219" i="1"/>
  <c r="F230" i="10"/>
  <c r="I218" i="11"/>
  <c r="J218" i="11"/>
  <c r="K218" i="11"/>
  <c r="L218" i="11"/>
  <c r="M218" i="11"/>
  <c r="N218" i="11"/>
  <c r="O218" i="11"/>
  <c r="F229" i="10"/>
  <c r="D218" i="1"/>
  <c r="I217" i="11"/>
  <c r="J217" i="11"/>
  <c r="K217" i="11"/>
  <c r="L217" i="11"/>
  <c r="M217" i="11"/>
  <c r="N217" i="11"/>
  <c r="O217" i="11"/>
  <c r="F228" i="10"/>
  <c r="D217" i="1"/>
  <c r="I216" i="11"/>
  <c r="J216" i="11"/>
  <c r="K216" i="11"/>
  <c r="L216" i="11"/>
  <c r="M216" i="11"/>
  <c r="N216" i="11"/>
  <c r="O216" i="11"/>
  <c r="I214" i="11"/>
  <c r="I215" i="11"/>
  <c r="D216" i="1"/>
  <c r="F227" i="10"/>
  <c r="J215" i="11"/>
  <c r="K215" i="11"/>
  <c r="L215" i="11"/>
  <c r="M215" i="11"/>
  <c r="N215" i="11"/>
  <c r="O215" i="11"/>
  <c r="F226" i="10"/>
  <c r="D215" i="1"/>
  <c r="J214" i="11"/>
  <c r="K214" i="11"/>
  <c r="L214" i="11"/>
  <c r="M214" i="11"/>
  <c r="N214" i="11"/>
  <c r="O214" i="11"/>
  <c r="F225" i="10"/>
  <c r="D214" i="1"/>
  <c r="R3" i="14"/>
  <c r="N3" i="14"/>
  <c r="J3" i="14"/>
  <c r="F3" i="14"/>
  <c r="I213" i="11"/>
  <c r="J213" i="11"/>
  <c r="K213" i="11"/>
  <c r="L213" i="11"/>
  <c r="M213" i="11"/>
  <c r="N213" i="11"/>
  <c r="O213" i="11"/>
  <c r="D213" i="1"/>
  <c r="F224" i="10"/>
  <c r="I212" i="11"/>
  <c r="J212" i="11"/>
  <c r="K212" i="11"/>
  <c r="L212" i="11"/>
  <c r="M212" i="11"/>
  <c r="N212" i="11"/>
  <c r="O212" i="11"/>
  <c r="D212" i="1"/>
  <c r="F223" i="10"/>
  <c r="I211" i="11"/>
  <c r="J211" i="11"/>
  <c r="K211" i="11"/>
  <c r="L211" i="11"/>
  <c r="M211" i="11"/>
  <c r="N211" i="11"/>
  <c r="O211" i="11"/>
  <c r="D211" i="1"/>
  <c r="F222" i="10"/>
  <c r="D210" i="1"/>
  <c r="I210" i="11"/>
  <c r="J210" i="11"/>
  <c r="K210" i="11"/>
  <c r="L210" i="11"/>
  <c r="M210" i="11"/>
  <c r="N210" i="11"/>
  <c r="O210" i="11"/>
  <c r="F221" i="10"/>
  <c r="D209" i="1"/>
  <c r="I209" i="11"/>
  <c r="J209" i="11"/>
  <c r="K209" i="11"/>
  <c r="L209" i="11"/>
  <c r="M209" i="11"/>
  <c r="N209" i="11"/>
  <c r="O209" i="11"/>
  <c r="L23" i="12" l="1"/>
  <c r="I23" i="12"/>
  <c r="F23" i="12"/>
  <c r="C23" i="12"/>
  <c r="F22" i="12"/>
  <c r="C22" i="12"/>
  <c r="I21" i="12"/>
  <c r="L21" i="12"/>
  <c r="F21" i="12"/>
  <c r="C21" i="12"/>
  <c r="I20" i="12"/>
  <c r="L20" i="12"/>
  <c r="C20" i="12"/>
  <c r="F20" i="12"/>
  <c r="I15" i="12"/>
  <c r="L15" i="12"/>
  <c r="C13" i="12"/>
  <c r="F13" i="12"/>
  <c r="F11" i="12"/>
  <c r="C11" i="12"/>
  <c r="L7" i="12"/>
  <c r="I7" i="12"/>
  <c r="F7" i="12"/>
  <c r="C7" i="12"/>
  <c r="L6" i="12"/>
  <c r="I6" i="12"/>
  <c r="F6" i="12"/>
  <c r="C6" i="12"/>
  <c r="L5" i="12"/>
  <c r="I5" i="12"/>
  <c r="F5" i="12"/>
  <c r="C5" i="12"/>
  <c r="L4" i="12"/>
  <c r="I4" i="12"/>
  <c r="F4" i="12"/>
  <c r="C4" i="12"/>
  <c r="L3" i="12"/>
  <c r="I3" i="12"/>
  <c r="F3" i="12"/>
  <c r="C3" i="12"/>
  <c r="B3" i="14"/>
  <c r="F220" i="10"/>
  <c r="D7" i="13"/>
  <c r="E7" i="13"/>
  <c r="F7" i="13"/>
  <c r="G7" i="13"/>
  <c r="H7" i="13"/>
  <c r="D8" i="13"/>
  <c r="E8" i="13"/>
  <c r="F8" i="13"/>
  <c r="G8" i="13"/>
  <c r="H8" i="13"/>
  <c r="D9" i="13"/>
  <c r="E9" i="13"/>
  <c r="F9" i="13"/>
  <c r="G9" i="13"/>
  <c r="H9" i="13"/>
  <c r="D10" i="13"/>
  <c r="E10" i="13"/>
  <c r="F10" i="13"/>
  <c r="G10" i="13"/>
  <c r="H10" i="13"/>
  <c r="D11" i="13"/>
  <c r="E11" i="13"/>
  <c r="F11" i="13"/>
  <c r="G11" i="13"/>
  <c r="H11" i="13"/>
  <c r="D12" i="13"/>
  <c r="E12" i="13"/>
  <c r="F12" i="13"/>
  <c r="G12" i="13"/>
  <c r="H12" i="13"/>
  <c r="I208" i="11"/>
  <c r="J208" i="11"/>
  <c r="K208" i="11"/>
  <c r="L208" i="11"/>
  <c r="M208" i="11"/>
  <c r="N208" i="11"/>
  <c r="O208" i="11"/>
  <c r="D208" i="1"/>
  <c r="F219" i="10"/>
  <c r="I207" i="11"/>
  <c r="J207" i="11"/>
  <c r="K207" i="11"/>
  <c r="L207" i="11"/>
  <c r="M207" i="11"/>
  <c r="N207" i="11"/>
  <c r="O207" i="11"/>
  <c r="F218" i="10"/>
  <c r="M37" i="1"/>
  <c r="D207" i="1"/>
  <c r="I206" i="11"/>
  <c r="J206" i="11"/>
  <c r="K206" i="11"/>
  <c r="L206" i="11"/>
  <c r="M206" i="11"/>
  <c r="N206" i="11"/>
  <c r="O206" i="11"/>
  <c r="F217" i="10"/>
  <c r="D206" i="1"/>
  <c r="B25" i="12"/>
  <c r="I17" i="11"/>
  <c r="J17" i="11"/>
  <c r="K17" i="11"/>
  <c r="L17" i="11"/>
  <c r="M17" i="11"/>
  <c r="N17" i="11"/>
  <c r="O17" i="11"/>
  <c r="I18" i="11"/>
  <c r="J18" i="11"/>
  <c r="K18" i="11"/>
  <c r="L18" i="11"/>
  <c r="M18" i="11"/>
  <c r="N18" i="11"/>
  <c r="O18" i="11"/>
  <c r="I19" i="11"/>
  <c r="J19" i="11"/>
  <c r="K19" i="11"/>
  <c r="L19" i="11"/>
  <c r="M19" i="11"/>
  <c r="N19" i="11"/>
  <c r="O19" i="11"/>
  <c r="I20" i="11"/>
  <c r="J20" i="11"/>
  <c r="K20" i="11"/>
  <c r="L20" i="11"/>
  <c r="M20" i="11"/>
  <c r="N20" i="11"/>
  <c r="O20" i="11"/>
  <c r="I21" i="11"/>
  <c r="J21" i="11"/>
  <c r="K21" i="11"/>
  <c r="L21" i="11"/>
  <c r="M21" i="11"/>
  <c r="N21" i="11"/>
  <c r="O21" i="11"/>
  <c r="I22" i="11"/>
  <c r="J22" i="11"/>
  <c r="K22" i="11"/>
  <c r="L22" i="11"/>
  <c r="M22" i="11"/>
  <c r="N22" i="11"/>
  <c r="O22" i="11"/>
  <c r="I23" i="11"/>
  <c r="J23" i="11"/>
  <c r="K23" i="11"/>
  <c r="L23" i="11"/>
  <c r="M23" i="11"/>
  <c r="N23" i="11"/>
  <c r="O23" i="11"/>
  <c r="I24" i="11"/>
  <c r="J24" i="11"/>
  <c r="K24" i="11"/>
  <c r="L24" i="11"/>
  <c r="M24" i="11"/>
  <c r="N24" i="11"/>
  <c r="O24" i="11"/>
  <c r="I25" i="11"/>
  <c r="J25" i="11"/>
  <c r="K25" i="11"/>
  <c r="L25" i="11"/>
  <c r="M25" i="11"/>
  <c r="N25" i="11"/>
  <c r="O25" i="11"/>
  <c r="I26" i="11"/>
  <c r="J26" i="11"/>
  <c r="K26" i="11"/>
  <c r="L26" i="11"/>
  <c r="M26" i="11"/>
  <c r="N26" i="11"/>
  <c r="O26" i="11"/>
  <c r="I27" i="11"/>
  <c r="J27" i="11"/>
  <c r="K27" i="11"/>
  <c r="L27" i="11"/>
  <c r="M27" i="11"/>
  <c r="N27" i="11"/>
  <c r="O27" i="11"/>
  <c r="I28" i="11"/>
  <c r="J28" i="11"/>
  <c r="K28" i="11"/>
  <c r="L28" i="11"/>
  <c r="M28" i="11"/>
  <c r="N28" i="11"/>
  <c r="O28" i="11"/>
  <c r="I29" i="11"/>
  <c r="J29" i="11"/>
  <c r="K29" i="11"/>
  <c r="L29" i="11"/>
  <c r="M29" i="11"/>
  <c r="N29" i="11"/>
  <c r="O29" i="11"/>
  <c r="I30" i="11"/>
  <c r="J30" i="11"/>
  <c r="K30" i="11"/>
  <c r="L30" i="11"/>
  <c r="M30" i="11"/>
  <c r="N30" i="11"/>
  <c r="O30" i="11"/>
  <c r="I31" i="11"/>
  <c r="J31" i="11"/>
  <c r="K31" i="11"/>
  <c r="L31" i="11"/>
  <c r="M31" i="11"/>
  <c r="N31" i="11"/>
  <c r="O31" i="11"/>
  <c r="I32" i="11"/>
  <c r="J32" i="11"/>
  <c r="K32" i="11"/>
  <c r="L32" i="11"/>
  <c r="M32" i="11"/>
  <c r="N32" i="11"/>
  <c r="O32" i="11"/>
  <c r="I33" i="11"/>
  <c r="J33" i="11"/>
  <c r="K33" i="11"/>
  <c r="L33" i="11"/>
  <c r="M33" i="11"/>
  <c r="N33" i="11"/>
  <c r="O33" i="11"/>
  <c r="I34" i="11"/>
  <c r="J34" i="11"/>
  <c r="K34" i="11"/>
  <c r="L34" i="11"/>
  <c r="M34" i="11"/>
  <c r="N34" i="11"/>
  <c r="O34" i="11"/>
  <c r="I35" i="11"/>
  <c r="J35" i="11"/>
  <c r="K35" i="11"/>
  <c r="L35" i="11"/>
  <c r="M35" i="11"/>
  <c r="N35" i="11"/>
  <c r="O35" i="11"/>
  <c r="I36" i="11"/>
  <c r="J36" i="11"/>
  <c r="K36" i="11"/>
  <c r="L36" i="11"/>
  <c r="M36" i="11"/>
  <c r="N36" i="11"/>
  <c r="O36" i="11"/>
  <c r="I37" i="11"/>
  <c r="J37" i="11"/>
  <c r="K37" i="11"/>
  <c r="L37" i="11"/>
  <c r="M37" i="11"/>
  <c r="N37" i="11"/>
  <c r="O37" i="11"/>
  <c r="I38" i="11"/>
  <c r="J38" i="11"/>
  <c r="K38" i="11"/>
  <c r="L38" i="11"/>
  <c r="M38" i="11"/>
  <c r="N38" i="11"/>
  <c r="O38" i="11"/>
  <c r="I39" i="11"/>
  <c r="J39" i="11"/>
  <c r="K39" i="11"/>
  <c r="L39" i="11"/>
  <c r="M39" i="11"/>
  <c r="N39" i="11"/>
  <c r="O39" i="11"/>
  <c r="I40" i="11"/>
  <c r="J40" i="11"/>
  <c r="K40" i="11"/>
  <c r="L40" i="11"/>
  <c r="M40" i="11"/>
  <c r="N40" i="11"/>
  <c r="O40" i="11"/>
  <c r="I41" i="11"/>
  <c r="J41" i="11"/>
  <c r="K41" i="11"/>
  <c r="L41" i="11"/>
  <c r="M41" i="11"/>
  <c r="N41" i="11"/>
  <c r="O41" i="11"/>
  <c r="I42" i="11"/>
  <c r="J42" i="11"/>
  <c r="K42" i="11"/>
  <c r="L42" i="11"/>
  <c r="M42" i="11"/>
  <c r="N42" i="11"/>
  <c r="O42" i="11"/>
  <c r="I43" i="11"/>
  <c r="J43" i="11"/>
  <c r="K43" i="11"/>
  <c r="L43" i="11"/>
  <c r="M43" i="11"/>
  <c r="N43" i="11"/>
  <c r="O43" i="11"/>
  <c r="I44" i="11"/>
  <c r="J44" i="11"/>
  <c r="K44" i="11"/>
  <c r="L44" i="11"/>
  <c r="M44" i="11"/>
  <c r="N44" i="11"/>
  <c r="O44" i="11"/>
  <c r="I45" i="11"/>
  <c r="J45" i="11"/>
  <c r="K45" i="11"/>
  <c r="L45" i="11"/>
  <c r="M45" i="11"/>
  <c r="N45" i="11"/>
  <c r="O45" i="11"/>
  <c r="I46" i="11"/>
  <c r="J46" i="11"/>
  <c r="K46" i="11"/>
  <c r="L46" i="11"/>
  <c r="M46" i="11"/>
  <c r="N46" i="11"/>
  <c r="O46" i="11"/>
  <c r="I47" i="11"/>
  <c r="J47" i="11"/>
  <c r="K47" i="11"/>
  <c r="L47" i="11"/>
  <c r="M47" i="11"/>
  <c r="N47" i="11"/>
  <c r="O47" i="11"/>
  <c r="I48" i="11"/>
  <c r="J48" i="11"/>
  <c r="K48" i="11"/>
  <c r="L48" i="11"/>
  <c r="M48" i="11"/>
  <c r="N48" i="11"/>
  <c r="O48" i="11"/>
  <c r="I49" i="11"/>
  <c r="J49" i="11"/>
  <c r="K49" i="11"/>
  <c r="L49" i="11"/>
  <c r="M49" i="11"/>
  <c r="N49" i="11"/>
  <c r="O49" i="11"/>
  <c r="I50" i="11"/>
  <c r="J50" i="11"/>
  <c r="K50" i="11"/>
  <c r="L50" i="11"/>
  <c r="M50" i="11"/>
  <c r="N50" i="11"/>
  <c r="O50" i="11"/>
  <c r="I51" i="11"/>
  <c r="J51" i="11"/>
  <c r="K51" i="11"/>
  <c r="L51" i="11"/>
  <c r="M51" i="11"/>
  <c r="N51" i="11"/>
  <c r="O51" i="11"/>
  <c r="I52" i="11"/>
  <c r="J52" i="11"/>
  <c r="K52" i="11"/>
  <c r="L52" i="11"/>
  <c r="M52" i="11"/>
  <c r="N52" i="11"/>
  <c r="O52" i="11"/>
  <c r="I53" i="11"/>
  <c r="J53" i="11"/>
  <c r="K53" i="11"/>
  <c r="L53" i="11"/>
  <c r="M53" i="11"/>
  <c r="N53" i="11"/>
  <c r="O53" i="11"/>
  <c r="I54" i="11"/>
  <c r="J54" i="11"/>
  <c r="K54" i="11"/>
  <c r="L54" i="11"/>
  <c r="M54" i="11"/>
  <c r="N54" i="11"/>
  <c r="O54" i="11"/>
  <c r="I55" i="11"/>
  <c r="J55" i="11"/>
  <c r="K55" i="11"/>
  <c r="L55" i="11"/>
  <c r="M55" i="11"/>
  <c r="N55" i="11"/>
  <c r="O55" i="11"/>
  <c r="I56" i="11"/>
  <c r="J56" i="11"/>
  <c r="K56" i="11"/>
  <c r="L56" i="11"/>
  <c r="M56" i="11"/>
  <c r="N56" i="11"/>
  <c r="O56" i="11"/>
  <c r="I57" i="11"/>
  <c r="J57" i="11"/>
  <c r="K57" i="11"/>
  <c r="L57" i="11"/>
  <c r="M57" i="11"/>
  <c r="N57" i="11"/>
  <c r="O57" i="11"/>
  <c r="I58" i="11"/>
  <c r="J58" i="11"/>
  <c r="K58" i="11"/>
  <c r="L58" i="11"/>
  <c r="M58" i="11"/>
  <c r="N58" i="11"/>
  <c r="O58" i="11"/>
  <c r="I59" i="11"/>
  <c r="J59" i="11"/>
  <c r="K59" i="11"/>
  <c r="L59" i="11"/>
  <c r="M59" i="11"/>
  <c r="N59" i="11"/>
  <c r="O59" i="11"/>
  <c r="I60" i="11"/>
  <c r="J60" i="11"/>
  <c r="K60" i="11"/>
  <c r="L60" i="11"/>
  <c r="M60" i="11"/>
  <c r="N60" i="11"/>
  <c r="O60" i="11"/>
  <c r="I61" i="11"/>
  <c r="J61" i="11"/>
  <c r="K61" i="11"/>
  <c r="L61" i="11"/>
  <c r="M61" i="11"/>
  <c r="N61" i="11"/>
  <c r="O61" i="11"/>
  <c r="I62" i="11"/>
  <c r="J62" i="11"/>
  <c r="K62" i="11"/>
  <c r="L62" i="11"/>
  <c r="M62" i="11"/>
  <c r="N62" i="11"/>
  <c r="O62" i="11"/>
  <c r="I63" i="11"/>
  <c r="J63" i="11"/>
  <c r="K63" i="11"/>
  <c r="L63" i="11"/>
  <c r="M63" i="11"/>
  <c r="N63" i="11"/>
  <c r="O63" i="11"/>
  <c r="I64" i="11"/>
  <c r="J64" i="11"/>
  <c r="K64" i="11"/>
  <c r="L64" i="11"/>
  <c r="M64" i="11"/>
  <c r="N64" i="11"/>
  <c r="O64" i="11"/>
  <c r="I65" i="11"/>
  <c r="J65" i="11"/>
  <c r="K65" i="11"/>
  <c r="L65" i="11"/>
  <c r="M65" i="11"/>
  <c r="N65" i="11"/>
  <c r="O65" i="11"/>
  <c r="I66" i="11"/>
  <c r="J66" i="11"/>
  <c r="K66" i="11"/>
  <c r="L66" i="11"/>
  <c r="M66" i="11"/>
  <c r="N66" i="11"/>
  <c r="O66" i="11"/>
  <c r="I67" i="11"/>
  <c r="J67" i="11"/>
  <c r="K67" i="11"/>
  <c r="L67" i="11"/>
  <c r="M67" i="11"/>
  <c r="N67" i="11"/>
  <c r="O67" i="11"/>
  <c r="I68" i="11"/>
  <c r="J68" i="11"/>
  <c r="K68" i="11"/>
  <c r="L68" i="11"/>
  <c r="M68" i="11"/>
  <c r="N68" i="11"/>
  <c r="O68" i="11"/>
  <c r="I69" i="11"/>
  <c r="J69" i="11"/>
  <c r="K69" i="11"/>
  <c r="L69" i="11"/>
  <c r="M69" i="11"/>
  <c r="N69" i="11"/>
  <c r="O69" i="11"/>
  <c r="I70" i="11"/>
  <c r="J70" i="11"/>
  <c r="K70" i="11"/>
  <c r="L70" i="11"/>
  <c r="M70" i="11"/>
  <c r="N70" i="11"/>
  <c r="O70" i="11"/>
  <c r="I71" i="11"/>
  <c r="J71" i="11"/>
  <c r="K71" i="11"/>
  <c r="L71" i="11"/>
  <c r="M71" i="11"/>
  <c r="N71" i="11"/>
  <c r="O71" i="11"/>
  <c r="I72" i="11"/>
  <c r="J72" i="11"/>
  <c r="K72" i="11"/>
  <c r="L72" i="11"/>
  <c r="M72" i="11"/>
  <c r="N72" i="11"/>
  <c r="O72" i="11"/>
  <c r="I73" i="11"/>
  <c r="J73" i="11"/>
  <c r="K73" i="11"/>
  <c r="L73" i="11"/>
  <c r="M73" i="11"/>
  <c r="N73" i="11"/>
  <c r="O73" i="11"/>
  <c r="I74" i="11"/>
  <c r="J74" i="11"/>
  <c r="K74" i="11"/>
  <c r="L74" i="11"/>
  <c r="M74" i="11"/>
  <c r="N74" i="11"/>
  <c r="O74" i="11"/>
  <c r="I75" i="11"/>
  <c r="J75" i="11"/>
  <c r="K75" i="11"/>
  <c r="L75" i="11"/>
  <c r="M75" i="11"/>
  <c r="N75" i="11"/>
  <c r="O75" i="11"/>
  <c r="I76" i="11"/>
  <c r="J76" i="11"/>
  <c r="K76" i="11"/>
  <c r="L76" i="11"/>
  <c r="M76" i="11"/>
  <c r="N76" i="11"/>
  <c r="O76" i="11"/>
  <c r="I77" i="11"/>
  <c r="J77" i="11"/>
  <c r="K77" i="11"/>
  <c r="L77" i="11"/>
  <c r="M77" i="11"/>
  <c r="N77" i="11"/>
  <c r="O77" i="11"/>
  <c r="I78" i="11"/>
  <c r="J78" i="11"/>
  <c r="K78" i="11"/>
  <c r="L78" i="11"/>
  <c r="M78" i="11"/>
  <c r="N78" i="11"/>
  <c r="O78" i="11"/>
  <c r="I79" i="11"/>
  <c r="J79" i="11"/>
  <c r="K79" i="11"/>
  <c r="L79" i="11"/>
  <c r="M79" i="11"/>
  <c r="N79" i="11"/>
  <c r="O79" i="11"/>
  <c r="I80" i="11"/>
  <c r="J80" i="11"/>
  <c r="K80" i="11"/>
  <c r="L80" i="11"/>
  <c r="M80" i="11"/>
  <c r="N80" i="11"/>
  <c r="O80" i="11"/>
  <c r="I81" i="11"/>
  <c r="J81" i="11"/>
  <c r="K81" i="11"/>
  <c r="L81" i="11"/>
  <c r="M81" i="11"/>
  <c r="N81" i="11"/>
  <c r="O81" i="11"/>
  <c r="I82" i="11"/>
  <c r="J82" i="11"/>
  <c r="K82" i="11"/>
  <c r="L82" i="11"/>
  <c r="M82" i="11"/>
  <c r="N82" i="11"/>
  <c r="O82" i="11"/>
  <c r="I83" i="11"/>
  <c r="J83" i="11"/>
  <c r="K83" i="11"/>
  <c r="L83" i="11"/>
  <c r="M83" i="11"/>
  <c r="N83" i="11"/>
  <c r="O83" i="11"/>
  <c r="I84" i="11"/>
  <c r="J84" i="11"/>
  <c r="K84" i="11"/>
  <c r="L84" i="11"/>
  <c r="M84" i="11"/>
  <c r="N84" i="11"/>
  <c r="O84" i="11"/>
  <c r="I85" i="11"/>
  <c r="J85" i="11"/>
  <c r="K85" i="11"/>
  <c r="L85" i="11"/>
  <c r="M85" i="11"/>
  <c r="N85" i="11"/>
  <c r="O85" i="11"/>
  <c r="I86" i="11"/>
  <c r="J86" i="11"/>
  <c r="K86" i="11"/>
  <c r="L86" i="11"/>
  <c r="M86" i="11"/>
  <c r="N86" i="11"/>
  <c r="O86" i="11"/>
  <c r="I87" i="11"/>
  <c r="J87" i="11"/>
  <c r="K87" i="11"/>
  <c r="L87" i="11"/>
  <c r="M87" i="11"/>
  <c r="N87" i="11"/>
  <c r="O87" i="11"/>
  <c r="I88" i="11"/>
  <c r="J88" i="11"/>
  <c r="K88" i="11"/>
  <c r="L88" i="11"/>
  <c r="M88" i="11"/>
  <c r="N88" i="11"/>
  <c r="O88" i="11"/>
  <c r="I89" i="11"/>
  <c r="J89" i="11"/>
  <c r="K89" i="11"/>
  <c r="L89" i="11"/>
  <c r="M89" i="11"/>
  <c r="N89" i="11"/>
  <c r="O89" i="11"/>
  <c r="I90" i="11"/>
  <c r="J90" i="11"/>
  <c r="K90" i="11"/>
  <c r="L90" i="11"/>
  <c r="M90" i="11"/>
  <c r="N90" i="11"/>
  <c r="O90" i="11"/>
  <c r="I91" i="11"/>
  <c r="J91" i="11"/>
  <c r="K91" i="11"/>
  <c r="L91" i="11"/>
  <c r="M91" i="11"/>
  <c r="N91" i="11"/>
  <c r="O91" i="11"/>
  <c r="I92" i="11"/>
  <c r="J92" i="11"/>
  <c r="K92" i="11"/>
  <c r="L92" i="11"/>
  <c r="M92" i="11"/>
  <c r="N92" i="11"/>
  <c r="O92" i="11"/>
  <c r="I93" i="11"/>
  <c r="J93" i="11"/>
  <c r="K93" i="11"/>
  <c r="L93" i="11"/>
  <c r="M93" i="11"/>
  <c r="N93" i="11"/>
  <c r="O93" i="11"/>
  <c r="I94" i="11"/>
  <c r="J94" i="11"/>
  <c r="K94" i="11"/>
  <c r="L94" i="11"/>
  <c r="M94" i="11"/>
  <c r="N94" i="11"/>
  <c r="O94" i="11"/>
  <c r="I95" i="11"/>
  <c r="J95" i="11"/>
  <c r="K95" i="11"/>
  <c r="L95" i="11"/>
  <c r="M95" i="11"/>
  <c r="N95" i="11"/>
  <c r="O95" i="11"/>
  <c r="I96" i="11"/>
  <c r="J96" i="11"/>
  <c r="K96" i="11"/>
  <c r="L96" i="11"/>
  <c r="M96" i="11"/>
  <c r="N96" i="11"/>
  <c r="O96" i="11"/>
  <c r="I97" i="11"/>
  <c r="J97" i="11"/>
  <c r="K97" i="11"/>
  <c r="L97" i="11"/>
  <c r="M97" i="11"/>
  <c r="N97" i="11"/>
  <c r="O97" i="11"/>
  <c r="I98" i="11"/>
  <c r="J98" i="11"/>
  <c r="K98" i="11"/>
  <c r="L98" i="11"/>
  <c r="M98" i="11"/>
  <c r="N98" i="11"/>
  <c r="O98" i="11"/>
  <c r="I99" i="11"/>
  <c r="J99" i="11"/>
  <c r="K99" i="11"/>
  <c r="L99" i="11"/>
  <c r="M99" i="11"/>
  <c r="N99" i="11"/>
  <c r="O99" i="11"/>
  <c r="I100" i="11"/>
  <c r="J100" i="11"/>
  <c r="K100" i="11"/>
  <c r="L100" i="11"/>
  <c r="M100" i="11"/>
  <c r="N100" i="11"/>
  <c r="O100" i="11"/>
  <c r="I101" i="11"/>
  <c r="J101" i="11"/>
  <c r="K101" i="11"/>
  <c r="L101" i="11"/>
  <c r="M101" i="11"/>
  <c r="N101" i="11"/>
  <c r="O101" i="11"/>
  <c r="I102" i="11"/>
  <c r="J102" i="11"/>
  <c r="K102" i="11"/>
  <c r="L102" i="11"/>
  <c r="M102" i="11"/>
  <c r="N102" i="11"/>
  <c r="O102" i="11"/>
  <c r="I103" i="11"/>
  <c r="J103" i="11"/>
  <c r="K103" i="11"/>
  <c r="L103" i="11"/>
  <c r="M103" i="11"/>
  <c r="N103" i="11"/>
  <c r="O103" i="11"/>
  <c r="I104" i="11"/>
  <c r="J104" i="11"/>
  <c r="K104" i="11"/>
  <c r="L104" i="11"/>
  <c r="M104" i="11"/>
  <c r="N104" i="11"/>
  <c r="O104" i="11"/>
  <c r="I105" i="11"/>
  <c r="J105" i="11"/>
  <c r="K105" i="11"/>
  <c r="L105" i="11"/>
  <c r="M105" i="11"/>
  <c r="N105" i="11"/>
  <c r="O105" i="11"/>
  <c r="I106" i="11"/>
  <c r="J106" i="11"/>
  <c r="K106" i="11"/>
  <c r="L106" i="11"/>
  <c r="M106" i="11"/>
  <c r="N106" i="11"/>
  <c r="O106" i="11"/>
  <c r="I107" i="11"/>
  <c r="J107" i="11"/>
  <c r="K107" i="11"/>
  <c r="L107" i="11"/>
  <c r="M107" i="11"/>
  <c r="N107" i="11"/>
  <c r="O107" i="11"/>
  <c r="I108" i="11"/>
  <c r="J108" i="11"/>
  <c r="K108" i="11"/>
  <c r="L108" i="11"/>
  <c r="M108" i="11"/>
  <c r="N108" i="11"/>
  <c r="O108" i="11"/>
  <c r="I109" i="11"/>
  <c r="J109" i="11"/>
  <c r="K109" i="11"/>
  <c r="L109" i="11"/>
  <c r="M109" i="11"/>
  <c r="N109" i="11"/>
  <c r="O109" i="11"/>
  <c r="I110" i="11"/>
  <c r="J110" i="11"/>
  <c r="K110" i="11"/>
  <c r="L110" i="11"/>
  <c r="M110" i="11"/>
  <c r="N110" i="11"/>
  <c r="O110" i="11"/>
  <c r="I111" i="11"/>
  <c r="J111" i="11"/>
  <c r="K111" i="11"/>
  <c r="L111" i="11"/>
  <c r="M111" i="11"/>
  <c r="N111" i="11"/>
  <c r="O111" i="11"/>
  <c r="I112" i="11"/>
  <c r="J112" i="11"/>
  <c r="K112" i="11"/>
  <c r="L112" i="11"/>
  <c r="M112" i="11"/>
  <c r="N112" i="11"/>
  <c r="O112" i="11"/>
  <c r="I113" i="11"/>
  <c r="J113" i="11"/>
  <c r="K113" i="11"/>
  <c r="L113" i="11"/>
  <c r="M113" i="11"/>
  <c r="N113" i="11"/>
  <c r="O113" i="11"/>
  <c r="I114" i="11"/>
  <c r="J114" i="11"/>
  <c r="K114" i="11"/>
  <c r="L114" i="11"/>
  <c r="M114" i="11"/>
  <c r="N114" i="11"/>
  <c r="O114" i="11"/>
  <c r="I115" i="11"/>
  <c r="J115" i="11"/>
  <c r="K115" i="11"/>
  <c r="L115" i="11"/>
  <c r="M115" i="11"/>
  <c r="N115" i="11"/>
  <c r="O115" i="11"/>
  <c r="I116" i="11"/>
  <c r="J116" i="11"/>
  <c r="K116" i="11"/>
  <c r="L116" i="11"/>
  <c r="M116" i="11"/>
  <c r="N116" i="11"/>
  <c r="O116" i="11"/>
  <c r="I117" i="11"/>
  <c r="J117" i="11"/>
  <c r="K117" i="11"/>
  <c r="L117" i="11"/>
  <c r="M117" i="11"/>
  <c r="N117" i="11"/>
  <c r="O117" i="11"/>
  <c r="I118" i="11"/>
  <c r="J118" i="11"/>
  <c r="K118" i="11"/>
  <c r="L118" i="11"/>
  <c r="M118" i="11"/>
  <c r="N118" i="11"/>
  <c r="O118" i="11"/>
  <c r="I119" i="11"/>
  <c r="J119" i="11"/>
  <c r="K119" i="11"/>
  <c r="L119" i="11"/>
  <c r="M119" i="11"/>
  <c r="N119" i="11"/>
  <c r="O119" i="11"/>
  <c r="I120" i="11"/>
  <c r="J120" i="11"/>
  <c r="K120" i="11"/>
  <c r="L120" i="11"/>
  <c r="M120" i="11"/>
  <c r="N120" i="11"/>
  <c r="O120" i="11"/>
  <c r="I121" i="11"/>
  <c r="J121" i="11"/>
  <c r="K121" i="11"/>
  <c r="L121" i="11"/>
  <c r="M121" i="11"/>
  <c r="N121" i="11"/>
  <c r="O121" i="11"/>
  <c r="I122" i="11"/>
  <c r="J122" i="11"/>
  <c r="K122" i="11"/>
  <c r="L122" i="11"/>
  <c r="M122" i="11"/>
  <c r="N122" i="11"/>
  <c r="O122" i="11"/>
  <c r="I123" i="11"/>
  <c r="J123" i="11"/>
  <c r="K123" i="11"/>
  <c r="L123" i="11"/>
  <c r="M123" i="11"/>
  <c r="N123" i="11"/>
  <c r="O123" i="11"/>
  <c r="I124" i="11"/>
  <c r="J124" i="11"/>
  <c r="K124" i="11"/>
  <c r="L124" i="11"/>
  <c r="M124" i="11"/>
  <c r="N124" i="11"/>
  <c r="O124" i="11"/>
  <c r="I125" i="11"/>
  <c r="J125" i="11"/>
  <c r="K125" i="11"/>
  <c r="L125" i="11"/>
  <c r="M125" i="11"/>
  <c r="N125" i="11"/>
  <c r="O125" i="11"/>
  <c r="I126" i="11"/>
  <c r="J126" i="11"/>
  <c r="K126" i="11"/>
  <c r="L126" i="11"/>
  <c r="M126" i="11"/>
  <c r="N126" i="11"/>
  <c r="O126" i="11"/>
  <c r="I127" i="11"/>
  <c r="J127" i="11"/>
  <c r="K127" i="11"/>
  <c r="L127" i="11"/>
  <c r="M127" i="11"/>
  <c r="N127" i="11"/>
  <c r="O127" i="11"/>
  <c r="I128" i="11"/>
  <c r="J128" i="11"/>
  <c r="K128" i="11"/>
  <c r="L128" i="11"/>
  <c r="M128" i="11"/>
  <c r="N128" i="11"/>
  <c r="O128" i="11"/>
  <c r="I129" i="11"/>
  <c r="J129" i="11"/>
  <c r="K129" i="11"/>
  <c r="L129" i="11"/>
  <c r="M129" i="11"/>
  <c r="N129" i="11"/>
  <c r="O129" i="11"/>
  <c r="I130" i="11"/>
  <c r="J130" i="11"/>
  <c r="K130" i="11"/>
  <c r="L130" i="11"/>
  <c r="M130" i="11"/>
  <c r="N130" i="11"/>
  <c r="O130" i="11"/>
  <c r="I131" i="11"/>
  <c r="J131" i="11"/>
  <c r="K131" i="11"/>
  <c r="L131" i="11"/>
  <c r="M131" i="11"/>
  <c r="N131" i="11"/>
  <c r="O131" i="11"/>
  <c r="I132" i="11"/>
  <c r="J132" i="11"/>
  <c r="K132" i="11"/>
  <c r="L132" i="11"/>
  <c r="M132" i="11"/>
  <c r="N132" i="11"/>
  <c r="O132" i="11"/>
  <c r="I133" i="11"/>
  <c r="J133" i="11"/>
  <c r="K133" i="11"/>
  <c r="L133" i="11"/>
  <c r="M133" i="11"/>
  <c r="N133" i="11"/>
  <c r="O133" i="11"/>
  <c r="I134" i="11"/>
  <c r="J134" i="11"/>
  <c r="K134" i="11"/>
  <c r="L134" i="11"/>
  <c r="M134" i="11"/>
  <c r="N134" i="11"/>
  <c r="O134" i="11"/>
  <c r="I135" i="11"/>
  <c r="J135" i="11"/>
  <c r="K135" i="11"/>
  <c r="L135" i="11"/>
  <c r="M135" i="11"/>
  <c r="N135" i="11"/>
  <c r="O135" i="11"/>
  <c r="I136" i="11"/>
  <c r="J136" i="11"/>
  <c r="K136" i="11"/>
  <c r="L136" i="11"/>
  <c r="M136" i="11"/>
  <c r="N136" i="11"/>
  <c r="O136" i="11"/>
  <c r="I137" i="11"/>
  <c r="J137" i="11"/>
  <c r="K137" i="11"/>
  <c r="L137" i="11"/>
  <c r="M137" i="11"/>
  <c r="N137" i="11"/>
  <c r="O137" i="11"/>
  <c r="I138" i="11"/>
  <c r="J138" i="11"/>
  <c r="K138" i="11"/>
  <c r="L138" i="11"/>
  <c r="M138" i="11"/>
  <c r="N138" i="11"/>
  <c r="O138" i="11"/>
  <c r="I139" i="11"/>
  <c r="J139" i="11"/>
  <c r="K139" i="11"/>
  <c r="L139" i="11"/>
  <c r="M139" i="11"/>
  <c r="N139" i="11"/>
  <c r="O139" i="11"/>
  <c r="I140" i="11"/>
  <c r="J140" i="11"/>
  <c r="K140" i="11"/>
  <c r="L140" i="11"/>
  <c r="M140" i="11"/>
  <c r="N140" i="11"/>
  <c r="O140" i="11"/>
  <c r="I141" i="11"/>
  <c r="J141" i="11"/>
  <c r="K141" i="11"/>
  <c r="L141" i="11"/>
  <c r="M141" i="11"/>
  <c r="N141" i="11"/>
  <c r="O141" i="11"/>
  <c r="I142" i="11"/>
  <c r="J142" i="11"/>
  <c r="K142" i="11"/>
  <c r="L142" i="11"/>
  <c r="M142" i="11"/>
  <c r="N142" i="11"/>
  <c r="O142" i="11"/>
  <c r="I143" i="11"/>
  <c r="J143" i="11"/>
  <c r="K143" i="11"/>
  <c r="L143" i="11"/>
  <c r="M143" i="11"/>
  <c r="N143" i="11"/>
  <c r="O143" i="11"/>
  <c r="I144" i="11"/>
  <c r="J144" i="11"/>
  <c r="K144" i="11"/>
  <c r="L144" i="11"/>
  <c r="M144" i="11"/>
  <c r="N144" i="11"/>
  <c r="O144" i="11"/>
  <c r="I145" i="11"/>
  <c r="J145" i="11"/>
  <c r="K145" i="11"/>
  <c r="L145" i="11"/>
  <c r="M145" i="11"/>
  <c r="N145" i="11"/>
  <c r="O145" i="11"/>
  <c r="I146" i="11"/>
  <c r="J146" i="11"/>
  <c r="K146" i="11"/>
  <c r="L146" i="11"/>
  <c r="M146" i="11"/>
  <c r="N146" i="11"/>
  <c r="O146" i="11"/>
  <c r="I147" i="11"/>
  <c r="J147" i="11"/>
  <c r="K147" i="11"/>
  <c r="L147" i="11"/>
  <c r="M147" i="11"/>
  <c r="N147" i="11"/>
  <c r="O147" i="11"/>
  <c r="I148" i="11"/>
  <c r="J148" i="11"/>
  <c r="K148" i="11"/>
  <c r="L148" i="11"/>
  <c r="M148" i="11"/>
  <c r="N148" i="11"/>
  <c r="O148" i="11"/>
  <c r="I149" i="11"/>
  <c r="J149" i="11"/>
  <c r="K149" i="11"/>
  <c r="L149" i="11"/>
  <c r="M149" i="11"/>
  <c r="N149" i="11"/>
  <c r="O149" i="11"/>
  <c r="I150" i="11"/>
  <c r="J150" i="11"/>
  <c r="K150" i="11"/>
  <c r="L150" i="11"/>
  <c r="M150" i="11"/>
  <c r="N150" i="11"/>
  <c r="O150" i="11"/>
  <c r="I151" i="11"/>
  <c r="J151" i="11"/>
  <c r="K151" i="11"/>
  <c r="L151" i="11"/>
  <c r="M151" i="11"/>
  <c r="N151" i="11"/>
  <c r="O151" i="11"/>
  <c r="I152" i="11"/>
  <c r="J152" i="11"/>
  <c r="K152" i="11"/>
  <c r="L152" i="11"/>
  <c r="M152" i="11"/>
  <c r="N152" i="11"/>
  <c r="O152" i="11"/>
  <c r="I153" i="11"/>
  <c r="J153" i="11"/>
  <c r="K153" i="11"/>
  <c r="L153" i="11"/>
  <c r="M153" i="11"/>
  <c r="N153" i="11"/>
  <c r="O153" i="11"/>
  <c r="I154" i="11"/>
  <c r="J154" i="11"/>
  <c r="K154" i="11"/>
  <c r="L154" i="11"/>
  <c r="M154" i="11"/>
  <c r="N154" i="11"/>
  <c r="O154" i="11"/>
  <c r="I155" i="11"/>
  <c r="J155" i="11"/>
  <c r="K155" i="11"/>
  <c r="L155" i="11"/>
  <c r="M155" i="11"/>
  <c r="N155" i="11"/>
  <c r="O155" i="11"/>
  <c r="I156" i="11"/>
  <c r="J156" i="11"/>
  <c r="K156" i="11"/>
  <c r="L156" i="11"/>
  <c r="M156" i="11"/>
  <c r="N156" i="11"/>
  <c r="O156" i="11"/>
  <c r="I157" i="11"/>
  <c r="J157" i="11"/>
  <c r="K157" i="11"/>
  <c r="L157" i="11"/>
  <c r="M157" i="11"/>
  <c r="N157" i="11"/>
  <c r="O157" i="11"/>
  <c r="I158" i="11"/>
  <c r="J158" i="11"/>
  <c r="K158" i="11"/>
  <c r="L158" i="11"/>
  <c r="M158" i="11"/>
  <c r="N158" i="11"/>
  <c r="O158" i="11"/>
  <c r="I159" i="11"/>
  <c r="J159" i="11"/>
  <c r="K159" i="11"/>
  <c r="L159" i="11"/>
  <c r="M159" i="11"/>
  <c r="N159" i="11"/>
  <c r="O159" i="11"/>
  <c r="I160" i="11"/>
  <c r="J160" i="11"/>
  <c r="K160" i="11"/>
  <c r="L160" i="11"/>
  <c r="M160" i="11"/>
  <c r="N160" i="11"/>
  <c r="O160" i="11"/>
  <c r="I161" i="11"/>
  <c r="J161" i="11"/>
  <c r="K161" i="11"/>
  <c r="L161" i="11"/>
  <c r="M161" i="11"/>
  <c r="N161" i="11"/>
  <c r="O161" i="11"/>
  <c r="I162" i="11"/>
  <c r="J162" i="11"/>
  <c r="K162" i="11"/>
  <c r="L162" i="11"/>
  <c r="M162" i="11"/>
  <c r="N162" i="11"/>
  <c r="O162" i="11"/>
  <c r="I163" i="11"/>
  <c r="J163" i="11"/>
  <c r="K163" i="11"/>
  <c r="L163" i="11"/>
  <c r="M163" i="11"/>
  <c r="N163" i="11"/>
  <c r="O163" i="11"/>
  <c r="I164" i="11"/>
  <c r="J164" i="11"/>
  <c r="K164" i="11"/>
  <c r="L164" i="11"/>
  <c r="M164" i="11"/>
  <c r="N164" i="11"/>
  <c r="O164" i="11"/>
  <c r="I165" i="11"/>
  <c r="J165" i="11"/>
  <c r="K165" i="11"/>
  <c r="L165" i="11"/>
  <c r="M165" i="11"/>
  <c r="N165" i="11"/>
  <c r="O165" i="11"/>
  <c r="I166" i="11"/>
  <c r="J166" i="11"/>
  <c r="K166" i="11"/>
  <c r="L166" i="11"/>
  <c r="M166" i="11"/>
  <c r="N166" i="11"/>
  <c r="O166" i="11"/>
  <c r="I167" i="11"/>
  <c r="J167" i="11"/>
  <c r="K167" i="11"/>
  <c r="L167" i="11"/>
  <c r="M167" i="11"/>
  <c r="N167" i="11"/>
  <c r="O167" i="11"/>
  <c r="I168" i="11"/>
  <c r="J168" i="11"/>
  <c r="K168" i="11"/>
  <c r="L168" i="11"/>
  <c r="M168" i="11"/>
  <c r="N168" i="11"/>
  <c r="O168" i="11"/>
  <c r="I169" i="11"/>
  <c r="J169" i="11"/>
  <c r="K169" i="11"/>
  <c r="L169" i="11"/>
  <c r="M169" i="11"/>
  <c r="N169" i="11"/>
  <c r="O169" i="11"/>
  <c r="I170" i="11"/>
  <c r="J170" i="11"/>
  <c r="K170" i="11"/>
  <c r="L170" i="11"/>
  <c r="M170" i="11"/>
  <c r="N170" i="11"/>
  <c r="O170" i="11"/>
  <c r="I171" i="11"/>
  <c r="J171" i="11"/>
  <c r="K171" i="11"/>
  <c r="L171" i="11"/>
  <c r="M171" i="11"/>
  <c r="N171" i="11"/>
  <c r="O171" i="11"/>
  <c r="I172" i="11"/>
  <c r="J172" i="11"/>
  <c r="K172" i="11"/>
  <c r="L172" i="11"/>
  <c r="M172" i="11"/>
  <c r="N172" i="11"/>
  <c r="O172" i="11"/>
  <c r="I173" i="11"/>
  <c r="J173" i="11"/>
  <c r="K173" i="11"/>
  <c r="L173" i="11"/>
  <c r="M173" i="11"/>
  <c r="N173" i="11"/>
  <c r="O173" i="11"/>
  <c r="I174" i="11"/>
  <c r="J174" i="11"/>
  <c r="K174" i="11"/>
  <c r="L174" i="11"/>
  <c r="M174" i="11"/>
  <c r="N174" i="11"/>
  <c r="O174" i="11"/>
  <c r="I175" i="11"/>
  <c r="J175" i="11"/>
  <c r="K175" i="11"/>
  <c r="L175" i="11"/>
  <c r="M175" i="11"/>
  <c r="N175" i="11"/>
  <c r="O175" i="11"/>
  <c r="I176" i="11"/>
  <c r="J176" i="11"/>
  <c r="K176" i="11"/>
  <c r="L176" i="11"/>
  <c r="M176" i="11"/>
  <c r="N176" i="11"/>
  <c r="O176" i="11"/>
  <c r="I177" i="11"/>
  <c r="J177" i="11"/>
  <c r="K177" i="11"/>
  <c r="L177" i="11"/>
  <c r="M177" i="11"/>
  <c r="N177" i="11"/>
  <c r="O177" i="11"/>
  <c r="I178" i="11"/>
  <c r="J178" i="11"/>
  <c r="K178" i="11"/>
  <c r="L178" i="11"/>
  <c r="M178" i="11"/>
  <c r="N178" i="11"/>
  <c r="O178" i="11"/>
  <c r="I179" i="11"/>
  <c r="J179" i="11"/>
  <c r="K179" i="11"/>
  <c r="L179" i="11"/>
  <c r="M179" i="11"/>
  <c r="N179" i="11"/>
  <c r="O179" i="11"/>
  <c r="I180" i="11"/>
  <c r="J180" i="11"/>
  <c r="K180" i="11"/>
  <c r="L180" i="11"/>
  <c r="M180" i="11"/>
  <c r="N180" i="11"/>
  <c r="O180" i="11"/>
  <c r="I181" i="11"/>
  <c r="J181" i="11"/>
  <c r="K181" i="11"/>
  <c r="L181" i="11"/>
  <c r="M181" i="11"/>
  <c r="N181" i="11"/>
  <c r="O181" i="11"/>
  <c r="I182" i="11"/>
  <c r="J182" i="11"/>
  <c r="K182" i="11"/>
  <c r="L182" i="11"/>
  <c r="M182" i="11"/>
  <c r="N182" i="11"/>
  <c r="O182" i="11"/>
  <c r="I183" i="11"/>
  <c r="J183" i="11"/>
  <c r="K183" i="11"/>
  <c r="L183" i="11"/>
  <c r="M183" i="11"/>
  <c r="N183" i="11"/>
  <c r="O183" i="11"/>
  <c r="I184" i="11"/>
  <c r="J184" i="11"/>
  <c r="K184" i="11"/>
  <c r="L184" i="11"/>
  <c r="M184" i="11"/>
  <c r="N184" i="11"/>
  <c r="O184" i="11"/>
  <c r="I185" i="11"/>
  <c r="J185" i="11"/>
  <c r="K185" i="11"/>
  <c r="L185" i="11"/>
  <c r="M185" i="11"/>
  <c r="N185" i="11"/>
  <c r="O185" i="11"/>
  <c r="I186" i="11"/>
  <c r="J186" i="11"/>
  <c r="K186" i="11"/>
  <c r="L186" i="11"/>
  <c r="M186" i="11"/>
  <c r="N186" i="11"/>
  <c r="O186" i="11"/>
  <c r="I187" i="11"/>
  <c r="J187" i="11"/>
  <c r="K187" i="11"/>
  <c r="L187" i="11"/>
  <c r="M187" i="11"/>
  <c r="N187" i="11"/>
  <c r="O187" i="11"/>
  <c r="I188" i="11"/>
  <c r="J188" i="11"/>
  <c r="K188" i="11"/>
  <c r="L188" i="11"/>
  <c r="M188" i="11"/>
  <c r="N188" i="11"/>
  <c r="O188" i="11"/>
  <c r="I189" i="11"/>
  <c r="J189" i="11"/>
  <c r="K189" i="11"/>
  <c r="L189" i="11"/>
  <c r="M189" i="11"/>
  <c r="N189" i="11"/>
  <c r="O189" i="11"/>
  <c r="I190" i="11"/>
  <c r="J190" i="11"/>
  <c r="K190" i="11"/>
  <c r="L190" i="11"/>
  <c r="M190" i="11"/>
  <c r="N190" i="11"/>
  <c r="O190" i="11"/>
  <c r="I191" i="11"/>
  <c r="J191" i="11"/>
  <c r="K191" i="11"/>
  <c r="L191" i="11"/>
  <c r="M191" i="11"/>
  <c r="N191" i="11"/>
  <c r="O191" i="11"/>
  <c r="I192" i="11"/>
  <c r="J192" i="11"/>
  <c r="K192" i="11"/>
  <c r="L192" i="11"/>
  <c r="M192" i="11"/>
  <c r="N192" i="11"/>
  <c r="O192" i="11"/>
  <c r="I193" i="11"/>
  <c r="J193" i="11"/>
  <c r="K193" i="11"/>
  <c r="L193" i="11"/>
  <c r="M193" i="11"/>
  <c r="N193" i="11"/>
  <c r="O193" i="11"/>
  <c r="I194" i="11"/>
  <c r="J194" i="11"/>
  <c r="K194" i="11"/>
  <c r="L194" i="11"/>
  <c r="M194" i="11"/>
  <c r="N194" i="11"/>
  <c r="O194" i="11"/>
  <c r="I195" i="11"/>
  <c r="J195" i="11"/>
  <c r="K195" i="11"/>
  <c r="L195" i="11"/>
  <c r="M195" i="11"/>
  <c r="N195" i="11"/>
  <c r="O195" i="11"/>
  <c r="I196" i="11"/>
  <c r="J196" i="11"/>
  <c r="K196" i="11"/>
  <c r="L196" i="11"/>
  <c r="M196" i="11"/>
  <c r="N196" i="11"/>
  <c r="O196" i="11"/>
  <c r="I197" i="11"/>
  <c r="J197" i="11"/>
  <c r="K197" i="11"/>
  <c r="L197" i="11"/>
  <c r="M197" i="11"/>
  <c r="N197" i="11"/>
  <c r="O197" i="11"/>
  <c r="I198" i="11"/>
  <c r="J198" i="11"/>
  <c r="K198" i="11"/>
  <c r="L198" i="11"/>
  <c r="M198" i="11"/>
  <c r="N198" i="11"/>
  <c r="O198" i="11"/>
  <c r="I199" i="11"/>
  <c r="J199" i="11"/>
  <c r="K199" i="11"/>
  <c r="L199" i="11"/>
  <c r="M199" i="11"/>
  <c r="N199" i="11"/>
  <c r="O199" i="11"/>
  <c r="I200" i="11"/>
  <c r="J200" i="11"/>
  <c r="K200" i="11"/>
  <c r="L200" i="11"/>
  <c r="M200" i="11"/>
  <c r="N200" i="11"/>
  <c r="O200" i="11"/>
  <c r="I201" i="11"/>
  <c r="J201" i="11"/>
  <c r="K201" i="11"/>
  <c r="L201" i="11"/>
  <c r="M201" i="11"/>
  <c r="N201" i="11"/>
  <c r="O201" i="11"/>
  <c r="I202" i="11"/>
  <c r="J202" i="11"/>
  <c r="K202" i="11"/>
  <c r="L202" i="11"/>
  <c r="M202" i="11"/>
  <c r="N202" i="11"/>
  <c r="O202" i="11"/>
  <c r="I203" i="11"/>
  <c r="J203" i="11"/>
  <c r="K203" i="11"/>
  <c r="L203" i="11"/>
  <c r="M203" i="11"/>
  <c r="N203" i="11"/>
  <c r="O203" i="11"/>
  <c r="I204" i="11"/>
  <c r="J204" i="11"/>
  <c r="K204" i="11"/>
  <c r="L204" i="11"/>
  <c r="M204" i="11"/>
  <c r="N204" i="11"/>
  <c r="O204" i="11"/>
  <c r="I205" i="11"/>
  <c r="J205" i="11"/>
  <c r="K205" i="11"/>
  <c r="L205" i="11"/>
  <c r="M205" i="11"/>
  <c r="N205" i="11"/>
  <c r="O205" i="11"/>
  <c r="J16" i="11"/>
  <c r="K16" i="11"/>
  <c r="L16" i="11"/>
  <c r="M16" i="11"/>
  <c r="N16" i="11"/>
  <c r="O16" i="11"/>
  <c r="I16" i="11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9" i="10"/>
  <c r="F28" i="10"/>
  <c r="F27" i="10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D205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17" i="1"/>
  <c r="D16" i="1"/>
  <c r="L22" i="12" l="1"/>
  <c r="L19" i="12"/>
  <c r="F19" i="12"/>
  <c r="F12" i="12"/>
  <c r="L14" i="12"/>
  <c r="F14" i="12"/>
  <c r="L12" i="12"/>
  <c r="F15" i="12"/>
  <c r="L11" i="12"/>
  <c r="L13" i="12"/>
  <c r="E80" i="1"/>
  <c r="N33" i="1"/>
  <c r="O33" i="1" s="1"/>
  <c r="E159" i="1"/>
  <c r="E41" i="1"/>
  <c r="F4" i="14"/>
  <c r="E7" i="14" s="1"/>
  <c r="H7" i="14" s="1"/>
  <c r="E85" i="1"/>
  <c r="E34" i="1"/>
  <c r="E151" i="1"/>
  <c r="N32" i="1"/>
  <c r="O32" i="1" s="1"/>
  <c r="E147" i="1"/>
  <c r="E194" i="1"/>
  <c r="J4" i="14"/>
  <c r="I7" i="14" s="1"/>
  <c r="L7" i="14" s="1"/>
  <c r="E148" i="1"/>
  <c r="E56" i="1"/>
  <c r="E181" i="1"/>
  <c r="E113" i="1"/>
  <c r="E57" i="1"/>
  <c r="E197" i="1"/>
  <c r="E140" i="1"/>
  <c r="E38" i="1"/>
  <c r="E18" i="1"/>
  <c r="E144" i="1"/>
  <c r="E125" i="1"/>
  <c r="E68" i="1"/>
  <c r="E91" i="1"/>
  <c r="E119" i="1"/>
  <c r="E72" i="1"/>
  <c r="E98" i="1"/>
  <c r="E111" i="1"/>
  <c r="N29" i="1"/>
  <c r="O29" i="1" s="1"/>
  <c r="E170" i="1"/>
  <c r="E36" i="1"/>
  <c r="E105" i="1"/>
  <c r="E53" i="1"/>
  <c r="E104" i="1"/>
  <c r="E109" i="1"/>
  <c r="E139" i="1"/>
  <c r="E138" i="1"/>
  <c r="E10" i="15"/>
  <c r="E72" i="15"/>
  <c r="E193" i="15"/>
  <c r="E25" i="15"/>
  <c r="E47" i="15"/>
  <c r="E69" i="15"/>
  <c r="E145" i="15"/>
  <c r="E201" i="15"/>
  <c r="E77" i="15"/>
  <c r="E75" i="15"/>
  <c r="E175" i="15"/>
  <c r="E59" i="15"/>
  <c r="E14" i="15"/>
  <c r="E199" i="15"/>
  <c r="E79" i="15"/>
  <c r="E131" i="15"/>
  <c r="E57" i="15"/>
  <c r="E67" i="15"/>
  <c r="N24" i="1"/>
  <c r="O24" i="1" s="1"/>
  <c r="E51" i="1"/>
  <c r="E95" i="1"/>
  <c r="E58" i="1"/>
  <c r="E191" i="1"/>
  <c r="E185" i="1"/>
  <c r="E27" i="1"/>
  <c r="N22" i="1"/>
  <c r="O22" i="1" s="1"/>
  <c r="E173" i="1"/>
  <c r="E153" i="1"/>
  <c r="E77" i="1"/>
  <c r="E163" i="1"/>
  <c r="E115" i="1"/>
  <c r="E55" i="1"/>
  <c r="E96" i="15"/>
  <c r="E164" i="15"/>
  <c r="E64" i="15"/>
  <c r="E170" i="15"/>
  <c r="E126" i="15"/>
  <c r="E105" i="15"/>
  <c r="E32" i="1"/>
  <c r="E69" i="1"/>
  <c r="E178" i="1"/>
  <c r="E102" i="1"/>
  <c r="E174" i="1"/>
  <c r="E156" i="1"/>
  <c r="E202" i="1"/>
  <c r="R4" i="14"/>
  <c r="Q7" i="14" s="1"/>
  <c r="T7" i="14" s="1"/>
  <c r="E67" i="1"/>
  <c r="E129" i="1"/>
  <c r="E195" i="1"/>
  <c r="N36" i="1"/>
  <c r="O36" i="1" s="1"/>
  <c r="E124" i="1"/>
  <c r="E35" i="1"/>
  <c r="E169" i="1"/>
  <c r="E175" i="1"/>
  <c r="E219" i="1"/>
  <c r="E16" i="1"/>
  <c r="E186" i="1"/>
  <c r="E54" i="1"/>
  <c r="E117" i="1"/>
  <c r="E200" i="1"/>
  <c r="E188" i="1"/>
  <c r="E92" i="1"/>
  <c r="E103" i="1"/>
  <c r="E142" i="1"/>
  <c r="E158" i="1"/>
  <c r="E146" i="1"/>
  <c r="E76" i="1"/>
  <c r="E101" i="1"/>
  <c r="E114" i="1"/>
  <c r="E180" i="1"/>
  <c r="E99" i="1"/>
  <c r="N28" i="1"/>
  <c r="O28" i="1" s="1"/>
  <c r="E61" i="1"/>
  <c r="E143" i="1"/>
  <c r="E47" i="1"/>
  <c r="E64" i="1"/>
  <c r="E162" i="1"/>
  <c r="E73" i="1"/>
  <c r="E135" i="1"/>
  <c r="N31" i="1"/>
  <c r="O31" i="1" s="1"/>
  <c r="E145" i="1"/>
  <c r="E206" i="1"/>
  <c r="E136" i="1"/>
  <c r="E187" i="1"/>
  <c r="E176" i="1"/>
  <c r="E22" i="1"/>
  <c r="E204" i="1"/>
  <c r="E150" i="1"/>
  <c r="E182" i="1"/>
  <c r="N27" i="1"/>
  <c r="O27" i="1" s="1"/>
  <c r="E87" i="1"/>
  <c r="E25" i="1"/>
  <c r="E86" i="1"/>
  <c r="E65" i="1"/>
  <c r="E209" i="1"/>
  <c r="E202" i="15"/>
  <c r="E213" i="1"/>
  <c r="E163" i="15"/>
  <c r="E89" i="15"/>
  <c r="E32" i="15"/>
  <c r="E42" i="15"/>
  <c r="E22" i="15"/>
  <c r="E91" i="15"/>
  <c r="E30" i="15"/>
  <c r="E78" i="15"/>
  <c r="E20" i="15"/>
  <c r="E36" i="15"/>
  <c r="E200" i="15"/>
  <c r="E120" i="15"/>
  <c r="E11" i="15"/>
  <c r="E85" i="15"/>
  <c r="E189" i="15"/>
  <c r="E181" i="15"/>
  <c r="E84" i="15"/>
  <c r="E13" i="15"/>
  <c r="E110" i="15"/>
  <c r="E70" i="15"/>
  <c r="E17" i="1"/>
  <c r="F17" i="1"/>
  <c r="E192" i="1"/>
  <c r="N23" i="1"/>
  <c r="O23" i="1" s="1"/>
  <c r="E39" i="1"/>
  <c r="E44" i="1"/>
  <c r="E132" i="1"/>
  <c r="E37" i="1"/>
  <c r="E50" i="1"/>
  <c r="E184" i="1"/>
  <c r="E120" i="1"/>
  <c r="E196" i="1"/>
  <c r="E133" i="1"/>
  <c r="E121" i="1"/>
  <c r="E100" i="1"/>
  <c r="E81" i="1"/>
  <c r="E201" i="1"/>
  <c r="E26" i="1"/>
  <c r="E137" i="1"/>
  <c r="E66" i="1"/>
  <c r="E110" i="1"/>
  <c r="E83" i="1"/>
  <c r="E107" i="1"/>
  <c r="E177" i="1"/>
  <c r="E74" i="1"/>
  <c r="E127" i="1"/>
  <c r="E52" i="1"/>
  <c r="E31" i="1"/>
  <c r="E97" i="1"/>
  <c r="E172" i="1"/>
  <c r="E126" i="1"/>
  <c r="E164" i="1"/>
  <c r="E96" i="1"/>
  <c r="E78" i="1"/>
  <c r="E90" i="1"/>
  <c r="E131" i="1"/>
  <c r="E171" i="1"/>
  <c r="N34" i="1"/>
  <c r="O34" i="1" s="1"/>
  <c r="E42" i="1"/>
  <c r="E193" i="1"/>
  <c r="E161" i="1"/>
  <c r="E123" i="1"/>
  <c r="N30" i="1"/>
  <c r="O30" i="1" s="1"/>
  <c r="E46" i="1"/>
  <c r="E28" i="1"/>
  <c r="E31" i="15"/>
  <c r="E156" i="15"/>
  <c r="E38" i="15"/>
  <c r="E180" i="15"/>
  <c r="E24" i="15"/>
  <c r="E146" i="15"/>
  <c r="E176" i="15"/>
  <c r="E138" i="15"/>
  <c r="E65" i="15"/>
  <c r="E155" i="15"/>
  <c r="E150" i="15"/>
  <c r="E95" i="15"/>
  <c r="E83" i="15"/>
  <c r="E215" i="1"/>
  <c r="E73" i="15"/>
  <c r="E5" i="15"/>
  <c r="E4" i="15"/>
  <c r="E49" i="15"/>
  <c r="E51" i="15"/>
  <c r="E139" i="15"/>
  <c r="E210" i="1"/>
  <c r="E166" i="15"/>
  <c r="E141" i="15"/>
  <c r="E182" i="15"/>
  <c r="E112" i="15"/>
  <c r="E84" i="1"/>
  <c r="N38" i="1"/>
  <c r="O38" i="1" s="1"/>
  <c r="N37" i="1"/>
  <c r="O37" i="1" s="1"/>
  <c r="E207" i="1"/>
  <c r="E79" i="1"/>
  <c r="E106" i="1"/>
  <c r="E141" i="1"/>
  <c r="E93" i="1"/>
  <c r="E94" i="1"/>
  <c r="E205" i="1"/>
  <c r="E70" i="1"/>
  <c r="E165" i="1"/>
  <c r="E82" i="1"/>
  <c r="N4" i="14"/>
  <c r="M7" i="14" s="1"/>
  <c r="P7" i="14" s="1"/>
  <c r="E30" i="1"/>
  <c r="E167" i="1"/>
  <c r="E33" i="1"/>
  <c r="E23" i="1"/>
  <c r="E208" i="1"/>
  <c r="E198" i="1"/>
  <c r="E60" i="1"/>
  <c r="E130" i="1"/>
  <c r="E108" i="1"/>
  <c r="E118" i="1"/>
  <c r="E203" i="1"/>
  <c r="E59" i="1"/>
  <c r="E116" i="1"/>
  <c r="E199" i="1"/>
  <c r="E45" i="1"/>
  <c r="E24" i="1"/>
  <c r="B4" i="14"/>
  <c r="A7" i="14" s="1"/>
  <c r="D7" i="14" s="1"/>
  <c r="E112" i="1"/>
  <c r="E89" i="1"/>
  <c r="E49" i="1"/>
  <c r="E157" i="1"/>
  <c r="E43" i="1"/>
  <c r="E71" i="1"/>
  <c r="N26" i="1"/>
  <c r="O26" i="1" s="1"/>
  <c r="E75" i="1"/>
  <c r="E122" i="1"/>
  <c r="E166" i="1"/>
  <c r="E154" i="1"/>
  <c r="N35" i="1"/>
  <c r="O35" i="1" s="1"/>
  <c r="E183" i="1"/>
  <c r="E48" i="1"/>
  <c r="E160" i="1"/>
  <c r="E20" i="1"/>
  <c r="E149" i="1"/>
  <c r="E62" i="1"/>
  <c r="E179" i="1"/>
  <c r="E128" i="1"/>
  <c r="E190" i="1"/>
  <c r="E29" i="1"/>
  <c r="E21" i="1"/>
  <c r="N25" i="1"/>
  <c r="O25" i="1" s="1"/>
  <c r="E63" i="1"/>
  <c r="E152" i="1"/>
  <c r="E88" i="1"/>
  <c r="E134" i="1"/>
  <c r="E40" i="1"/>
  <c r="E168" i="1"/>
  <c r="E155" i="1"/>
  <c r="E19" i="1"/>
  <c r="E189" i="1"/>
  <c r="E123" i="15"/>
  <c r="E196" i="15"/>
  <c r="E104" i="15"/>
  <c r="E48" i="15"/>
  <c r="E127" i="15"/>
  <c r="E99" i="15"/>
  <c r="E62" i="15"/>
  <c r="E23" i="15"/>
  <c r="E40" i="15"/>
  <c r="E167" i="15"/>
  <c r="E137" i="15"/>
  <c r="E50" i="15"/>
  <c r="E54" i="15"/>
  <c r="E153" i="15"/>
  <c r="E63" i="15"/>
  <c r="E93" i="15"/>
  <c r="E136" i="15"/>
  <c r="E173" i="15"/>
  <c r="E184" i="15"/>
  <c r="E135" i="15"/>
  <c r="E109" i="15"/>
  <c r="E66" i="15"/>
  <c r="E19" i="15"/>
  <c r="E28" i="15"/>
  <c r="E87" i="15"/>
  <c r="E118" i="15"/>
  <c r="E12" i="15"/>
  <c r="E92" i="15"/>
  <c r="E106" i="15"/>
  <c r="E100" i="15"/>
  <c r="E143" i="15"/>
  <c r="E18" i="15"/>
  <c r="E58" i="15"/>
  <c r="E76" i="15"/>
  <c r="E82" i="15"/>
  <c r="E159" i="15"/>
  <c r="E2" i="15"/>
  <c r="E211" i="1"/>
  <c r="E212" i="1"/>
  <c r="E218" i="1"/>
  <c r="E216" i="1"/>
  <c r="E53" i="15"/>
  <c r="E160" i="15"/>
  <c r="E16" i="15"/>
  <c r="E191" i="15"/>
  <c r="E187" i="15"/>
  <c r="E103" i="15"/>
  <c r="E45" i="15"/>
  <c r="E129" i="15"/>
  <c r="E168" i="15"/>
  <c r="E144" i="15"/>
  <c r="E151" i="15"/>
  <c r="E132" i="15"/>
  <c r="E119" i="15"/>
  <c r="E183" i="15"/>
  <c r="E148" i="15"/>
  <c r="E37" i="15"/>
  <c r="E195" i="15"/>
  <c r="E169" i="15"/>
  <c r="E80" i="15"/>
  <c r="E217" i="1"/>
  <c r="E122" i="15"/>
  <c r="E142" i="15"/>
  <c r="E178" i="15"/>
  <c r="E102" i="15"/>
  <c r="E27" i="15"/>
  <c r="E111" i="15"/>
  <c r="E8" i="15"/>
  <c r="E124" i="15"/>
  <c r="E81" i="15"/>
  <c r="E107" i="15"/>
  <c r="E52" i="15"/>
  <c r="E174" i="15"/>
  <c r="E60" i="15"/>
  <c r="E108" i="15"/>
  <c r="E29" i="15"/>
  <c r="E121" i="15"/>
  <c r="E161" i="15"/>
  <c r="E177" i="15"/>
  <c r="E165" i="15"/>
  <c r="E3" i="15"/>
  <c r="E113" i="15"/>
  <c r="E117" i="15"/>
  <c r="E147" i="15"/>
  <c r="E186" i="15"/>
  <c r="E157" i="15"/>
  <c r="E35" i="15"/>
  <c r="E149" i="15"/>
  <c r="E33" i="15"/>
  <c r="E26" i="15"/>
  <c r="E21" i="15"/>
  <c r="E158" i="15"/>
  <c r="E56" i="15"/>
  <c r="E101" i="15"/>
  <c r="E115" i="15"/>
  <c r="E152" i="15"/>
  <c r="E179" i="15"/>
  <c r="E71" i="15"/>
  <c r="E140" i="15"/>
  <c r="E43" i="15"/>
  <c r="E114" i="15"/>
  <c r="E192" i="15"/>
  <c r="E15" i="15"/>
  <c r="E46" i="15"/>
  <c r="E86" i="15"/>
  <c r="E55" i="15"/>
  <c r="E134" i="15"/>
  <c r="E154" i="15"/>
  <c r="E74" i="15"/>
  <c r="E171" i="15"/>
  <c r="E198" i="15"/>
  <c r="E190" i="15"/>
  <c r="E116" i="15"/>
  <c r="E44" i="15"/>
  <c r="E188" i="15"/>
  <c r="E7" i="15"/>
  <c r="E130" i="15"/>
  <c r="E90" i="15"/>
  <c r="E97" i="15"/>
  <c r="E203" i="15"/>
  <c r="E133" i="15"/>
  <c r="E128" i="15"/>
  <c r="E197" i="15"/>
  <c r="E68" i="15"/>
  <c r="E9" i="15"/>
  <c r="E88" i="15"/>
  <c r="E125" i="15"/>
  <c r="E39" i="15"/>
  <c r="E34" i="15"/>
  <c r="E162" i="15"/>
  <c r="E41" i="15"/>
  <c r="E17" i="15"/>
  <c r="E172" i="15"/>
  <c r="E214" i="1"/>
  <c r="E94" i="15"/>
  <c r="E6" i="15"/>
  <c r="E98" i="15"/>
  <c r="E194" i="15"/>
  <c r="E185" i="15"/>
  <c r="E61" i="15"/>
  <c r="D5" i="14" l="1"/>
  <c r="T5" i="14"/>
  <c r="L5" i="14"/>
  <c r="P5" i="14"/>
  <c r="H5" i="14"/>
  <c r="G17" i="1"/>
  <c r="F18" i="1"/>
  <c r="F19" i="1" l="1"/>
  <c r="G18" i="1"/>
  <c r="F20" i="1" l="1"/>
  <c r="G19" i="1"/>
  <c r="G20" i="1" l="1"/>
  <c r="F21" i="1"/>
  <c r="G21" i="1" l="1"/>
  <c r="F22" i="1"/>
  <c r="F23" i="1" l="1"/>
  <c r="G22" i="1"/>
  <c r="G23" i="1" l="1"/>
  <c r="F24" i="1"/>
  <c r="F25" i="1" l="1"/>
  <c r="G24" i="1"/>
  <c r="F26" i="1" l="1"/>
  <c r="G25" i="1"/>
  <c r="F27" i="1" l="1"/>
  <c r="G26" i="1"/>
  <c r="F28" i="1" l="1"/>
  <c r="G27" i="1"/>
  <c r="G28" i="1" l="1"/>
  <c r="F29" i="1"/>
  <c r="F30" i="1" l="1"/>
  <c r="G29" i="1"/>
  <c r="G30" i="1" l="1"/>
  <c r="F31" i="1"/>
  <c r="F32" i="1" l="1"/>
  <c r="G31" i="1"/>
  <c r="F33" i="1" l="1"/>
  <c r="G32" i="1"/>
  <c r="G33" i="1" l="1"/>
  <c r="F34" i="1"/>
  <c r="G34" i="1" l="1"/>
  <c r="F35" i="1"/>
  <c r="G35" i="1" l="1"/>
  <c r="F36" i="1"/>
  <c r="F37" i="1" l="1"/>
  <c r="G36" i="1"/>
  <c r="G37" i="1" l="1"/>
  <c r="F38" i="1"/>
  <c r="G38" i="1" l="1"/>
  <c r="F39" i="1"/>
  <c r="G39" i="1" l="1"/>
  <c r="F40" i="1"/>
  <c r="G40" i="1" l="1"/>
  <c r="F41" i="1"/>
  <c r="G41" i="1" l="1"/>
  <c r="F42" i="1"/>
  <c r="F43" i="1" l="1"/>
  <c r="G42" i="1"/>
  <c r="G43" i="1" l="1"/>
  <c r="F44" i="1"/>
  <c r="G44" i="1" l="1"/>
  <c r="F45" i="1"/>
  <c r="G45" i="1" l="1"/>
  <c r="F46" i="1"/>
  <c r="F47" i="1" l="1"/>
  <c r="G46" i="1"/>
  <c r="F48" i="1" l="1"/>
  <c r="G47" i="1"/>
  <c r="F49" i="1" l="1"/>
  <c r="G48" i="1"/>
  <c r="F50" i="1" l="1"/>
  <c r="G49" i="1"/>
  <c r="F51" i="1" l="1"/>
  <c r="G50" i="1"/>
  <c r="G51" i="1" l="1"/>
  <c r="F52" i="1"/>
  <c r="F53" i="1" l="1"/>
  <c r="G52" i="1"/>
  <c r="F54" i="1" l="1"/>
  <c r="G53" i="1"/>
  <c r="F55" i="1" l="1"/>
  <c r="G54" i="1"/>
  <c r="F56" i="1" l="1"/>
  <c r="G55" i="1"/>
  <c r="G56" i="1" l="1"/>
  <c r="F57" i="1"/>
  <c r="F58" i="1" l="1"/>
  <c r="G57" i="1"/>
  <c r="G58" i="1" l="1"/>
  <c r="F59" i="1"/>
  <c r="F60" i="1" l="1"/>
  <c r="G59" i="1"/>
  <c r="F61" i="1" l="1"/>
  <c r="G60" i="1"/>
  <c r="G61" i="1" l="1"/>
  <c r="F62" i="1"/>
  <c r="F63" i="1" l="1"/>
  <c r="G62" i="1"/>
  <c r="G63" i="1" l="1"/>
  <c r="F64" i="1"/>
  <c r="G64" i="1" l="1"/>
  <c r="F65" i="1"/>
  <c r="F66" i="1" l="1"/>
  <c r="G65" i="1"/>
  <c r="G66" i="1" l="1"/>
  <c r="F67" i="1"/>
  <c r="G67" i="1" l="1"/>
  <c r="F68" i="1"/>
  <c r="F69" i="1" l="1"/>
  <c r="G68" i="1"/>
  <c r="F70" i="1" l="1"/>
  <c r="G69" i="1"/>
  <c r="G70" i="1" l="1"/>
  <c r="F71" i="1"/>
  <c r="G71" i="1" l="1"/>
  <c r="F72" i="1"/>
  <c r="F73" i="1" l="1"/>
  <c r="G72" i="1"/>
  <c r="G73" i="1" l="1"/>
  <c r="F74" i="1"/>
  <c r="G74" i="1" l="1"/>
  <c r="F75" i="1"/>
  <c r="F76" i="1" l="1"/>
  <c r="G75" i="1"/>
  <c r="F77" i="1" l="1"/>
  <c r="G76" i="1"/>
  <c r="G77" i="1" l="1"/>
  <c r="F78" i="1"/>
  <c r="F79" i="1" l="1"/>
  <c r="G78" i="1"/>
  <c r="F80" i="1" l="1"/>
  <c r="G79" i="1"/>
  <c r="F81" i="1" l="1"/>
  <c r="G80" i="1"/>
  <c r="F82" i="1" l="1"/>
  <c r="G81" i="1"/>
  <c r="G82" i="1" l="1"/>
  <c r="F83" i="1"/>
  <c r="F84" i="1" l="1"/>
  <c r="G83" i="1"/>
  <c r="G84" i="1" l="1"/>
  <c r="F85" i="1"/>
  <c r="G85" i="1" l="1"/>
  <c r="F86" i="1"/>
  <c r="G86" i="1" l="1"/>
  <c r="F87" i="1"/>
  <c r="G87" i="1" l="1"/>
  <c r="F88" i="1"/>
  <c r="F89" i="1" l="1"/>
  <c r="G88" i="1"/>
  <c r="G89" i="1" l="1"/>
  <c r="F90" i="1"/>
  <c r="G90" i="1" l="1"/>
  <c r="F91" i="1"/>
  <c r="G91" i="1" l="1"/>
  <c r="F92" i="1"/>
  <c r="G92" i="1" l="1"/>
  <c r="F93" i="1"/>
  <c r="G93" i="1" l="1"/>
  <c r="F94" i="1"/>
  <c r="G94" i="1" l="1"/>
  <c r="F95" i="1"/>
  <c r="G95" i="1" l="1"/>
  <c r="F96" i="1"/>
  <c r="G96" i="1" l="1"/>
  <c r="F97" i="1"/>
  <c r="G97" i="1" l="1"/>
  <c r="F98" i="1"/>
  <c r="G98" i="1" l="1"/>
  <c r="F99" i="1"/>
  <c r="G99" i="1" l="1"/>
  <c r="F100" i="1"/>
  <c r="G100" i="1" l="1"/>
  <c r="F101" i="1"/>
  <c r="F102" i="1" l="1"/>
  <c r="G101" i="1"/>
  <c r="G102" i="1" l="1"/>
  <c r="F103" i="1"/>
  <c r="F104" i="1" l="1"/>
  <c r="G103" i="1"/>
  <c r="F105" i="1" l="1"/>
  <c r="G104" i="1"/>
  <c r="F106" i="1" l="1"/>
  <c r="G105" i="1"/>
  <c r="G106" i="1" l="1"/>
  <c r="F107" i="1"/>
  <c r="G107" i="1" l="1"/>
  <c r="F108" i="1"/>
  <c r="G108" i="1" l="1"/>
  <c r="F109" i="1"/>
  <c r="G109" i="1" l="1"/>
  <c r="F110" i="1"/>
  <c r="G110" i="1" l="1"/>
  <c r="F111" i="1"/>
  <c r="G111" i="1" l="1"/>
  <c r="F112" i="1"/>
  <c r="G112" i="1" l="1"/>
  <c r="F113" i="1"/>
  <c r="G113" i="1" l="1"/>
  <c r="F114" i="1"/>
  <c r="G114" i="1" l="1"/>
  <c r="F115" i="1"/>
  <c r="F116" i="1" l="1"/>
  <c r="G115" i="1"/>
  <c r="F117" i="1" l="1"/>
  <c r="G116" i="1"/>
  <c r="G117" i="1" l="1"/>
  <c r="F118" i="1"/>
  <c r="F119" i="1" l="1"/>
  <c r="G118" i="1"/>
  <c r="F120" i="1" l="1"/>
  <c r="G119" i="1"/>
  <c r="F121" i="1" l="1"/>
  <c r="G120" i="1"/>
  <c r="F122" i="1" l="1"/>
  <c r="G121" i="1"/>
  <c r="F123" i="1" l="1"/>
  <c r="G122" i="1"/>
  <c r="F124" i="1" l="1"/>
  <c r="G123" i="1"/>
  <c r="F125" i="1" l="1"/>
  <c r="G124" i="1"/>
  <c r="F126" i="1" l="1"/>
  <c r="G125" i="1"/>
  <c r="F127" i="1" l="1"/>
  <c r="G126" i="1"/>
  <c r="F128" i="1" l="1"/>
  <c r="G127" i="1"/>
  <c r="F129" i="1" l="1"/>
  <c r="G128" i="1"/>
  <c r="G129" i="1" l="1"/>
  <c r="F130" i="1"/>
  <c r="F131" i="1" l="1"/>
  <c r="G130" i="1"/>
  <c r="F132" i="1" l="1"/>
  <c r="G131" i="1"/>
  <c r="F133" i="1" l="1"/>
  <c r="G132" i="1"/>
  <c r="G133" i="1" l="1"/>
  <c r="F134" i="1"/>
  <c r="F135" i="1" l="1"/>
  <c r="G134" i="1"/>
  <c r="G135" i="1" l="1"/>
  <c r="F136" i="1"/>
  <c r="G136" i="1" l="1"/>
  <c r="F137" i="1"/>
  <c r="F138" i="1" l="1"/>
  <c r="G137" i="1"/>
  <c r="F139" i="1" l="1"/>
  <c r="G138" i="1"/>
  <c r="F140" i="1" l="1"/>
  <c r="G139" i="1"/>
  <c r="F141" i="1" l="1"/>
  <c r="G140" i="1"/>
  <c r="F142" i="1" l="1"/>
  <c r="G141" i="1"/>
  <c r="F143" i="1" l="1"/>
  <c r="G142" i="1"/>
  <c r="F144" i="1" l="1"/>
  <c r="G143" i="1"/>
  <c r="F145" i="1" l="1"/>
  <c r="G144" i="1"/>
  <c r="F146" i="1" l="1"/>
  <c r="G145" i="1"/>
  <c r="F147" i="1" l="1"/>
  <c r="G146" i="1"/>
  <c r="F148" i="1" l="1"/>
  <c r="G147" i="1"/>
  <c r="F149" i="1" l="1"/>
  <c r="G148" i="1"/>
  <c r="F150" i="1" l="1"/>
  <c r="G149" i="1"/>
  <c r="F151" i="1" l="1"/>
  <c r="G150" i="1"/>
  <c r="F152" i="1" l="1"/>
  <c r="G151" i="1"/>
  <c r="F153" i="1" l="1"/>
  <c r="G152" i="1"/>
  <c r="F154" i="1" l="1"/>
  <c r="G153" i="1"/>
  <c r="F155" i="1" l="1"/>
  <c r="G154" i="1"/>
  <c r="G155" i="1" l="1"/>
  <c r="F156" i="1"/>
  <c r="F157" i="1" l="1"/>
  <c r="G156" i="1"/>
  <c r="F158" i="1" l="1"/>
  <c r="G157" i="1"/>
  <c r="F159" i="1" l="1"/>
  <c r="G158" i="1"/>
  <c r="F160" i="1" l="1"/>
  <c r="G159" i="1"/>
  <c r="F161" i="1" l="1"/>
  <c r="G160" i="1"/>
  <c r="F162" i="1" l="1"/>
  <c r="G161" i="1"/>
  <c r="F163" i="1" l="1"/>
  <c r="G162" i="1"/>
  <c r="F164" i="1" l="1"/>
  <c r="G163" i="1"/>
  <c r="F165" i="1" l="1"/>
  <c r="G164" i="1"/>
  <c r="F166" i="1" l="1"/>
  <c r="G165" i="1"/>
  <c r="F167" i="1" l="1"/>
  <c r="G166" i="1"/>
  <c r="F168" i="1" l="1"/>
  <c r="G167" i="1"/>
  <c r="F169" i="1" l="1"/>
  <c r="G168" i="1"/>
  <c r="F170" i="1" l="1"/>
  <c r="G169" i="1"/>
  <c r="F171" i="1" l="1"/>
  <c r="G170" i="1"/>
  <c r="F172" i="1" l="1"/>
  <c r="G171" i="1"/>
  <c r="G172" i="1" l="1"/>
  <c r="F173" i="1"/>
  <c r="F174" i="1" l="1"/>
  <c r="G173" i="1"/>
  <c r="F175" i="1" l="1"/>
  <c r="G174" i="1"/>
  <c r="F176" i="1" l="1"/>
  <c r="G175" i="1"/>
  <c r="F177" i="1" l="1"/>
  <c r="G176" i="1"/>
  <c r="F178" i="1" l="1"/>
  <c r="G177" i="1"/>
  <c r="F179" i="1" l="1"/>
  <c r="G178" i="1"/>
  <c r="F180" i="1" l="1"/>
  <c r="G179" i="1"/>
  <c r="F181" i="1" l="1"/>
  <c r="G180" i="1"/>
  <c r="F182" i="1" l="1"/>
  <c r="G181" i="1"/>
  <c r="F183" i="1" l="1"/>
  <c r="G182" i="1"/>
  <c r="F184" i="1" l="1"/>
  <c r="G183" i="1"/>
  <c r="G184" i="1" l="1"/>
  <c r="F185" i="1"/>
  <c r="F186" i="1" l="1"/>
  <c r="G185" i="1"/>
  <c r="G186" i="1" l="1"/>
  <c r="F187" i="1"/>
  <c r="G187" i="1" l="1"/>
  <c r="F188" i="1"/>
  <c r="F189" i="1" l="1"/>
  <c r="G188" i="1"/>
  <c r="F190" i="1" l="1"/>
  <c r="G189" i="1"/>
  <c r="F191" i="1" l="1"/>
  <c r="G190" i="1"/>
  <c r="G191" i="1" l="1"/>
  <c r="F192" i="1"/>
  <c r="F193" i="1" l="1"/>
  <c r="G192" i="1"/>
  <c r="F194" i="1" l="1"/>
  <c r="G193" i="1"/>
  <c r="F195" i="1" l="1"/>
  <c r="G194" i="1"/>
  <c r="F196" i="1" l="1"/>
  <c r="G195" i="1"/>
  <c r="F197" i="1" l="1"/>
  <c r="G196" i="1"/>
  <c r="F198" i="1" l="1"/>
  <c r="G197" i="1"/>
  <c r="F199" i="1" l="1"/>
  <c r="G198" i="1"/>
  <c r="F200" i="1" l="1"/>
  <c r="G199" i="1"/>
  <c r="F201" i="1" l="1"/>
  <c r="G200" i="1"/>
  <c r="F202" i="1" l="1"/>
  <c r="G201" i="1"/>
  <c r="F203" i="1" l="1"/>
  <c r="G202" i="1"/>
  <c r="F204" i="1" l="1"/>
  <c r="G203" i="1"/>
  <c r="F205" i="1" l="1"/>
  <c r="G204" i="1"/>
  <c r="F206" i="1" l="1"/>
  <c r="G205" i="1"/>
  <c r="F207" i="1" l="1"/>
  <c r="G206" i="1"/>
  <c r="G207" i="1" l="1"/>
  <c r="F208" i="1"/>
  <c r="G208" i="1" l="1"/>
  <c r="F209" i="1"/>
  <c r="G209" i="1" l="1"/>
  <c r="F210" i="1"/>
  <c r="G210" i="1" l="1"/>
  <c r="F211" i="1"/>
  <c r="G211" i="1" l="1"/>
  <c r="F212" i="1"/>
  <c r="G212" i="1" l="1"/>
  <c r="F213" i="1"/>
  <c r="G213" i="1" l="1"/>
  <c r="F214" i="1"/>
  <c r="G214" i="1" l="1"/>
  <c r="F215" i="1"/>
  <c r="G215" i="1" l="1"/>
  <c r="F216" i="1"/>
  <c r="G216" i="1" l="1"/>
  <c r="F217" i="1"/>
  <c r="G217" i="1" l="1"/>
  <c r="F218" i="1"/>
  <c r="G218" i="1" l="1"/>
  <c r="F219" i="1"/>
  <c r="G2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erleye</author>
  </authors>
  <commentList>
    <comment ref="A7" authorId="0" shapeId="0" xr:uid="{00000000-0006-0000-09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E7" authorId="0" shapeId="0" xr:uid="{00000000-0006-0000-0900-000002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I7" authorId="0" shapeId="0" xr:uid="{00000000-0006-0000-0900-000003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M7" authorId="0" shapeId="0" xr:uid="{00000000-0006-0000-0900-000004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Q7" authorId="0" shapeId="0" xr:uid="{00000000-0006-0000-0900-000005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<sst xmlns="http://schemas.openxmlformats.org/spreadsheetml/2006/main" count="943" uniqueCount="577">
  <si>
    <t>资产比较策略净值</t>
  </si>
  <si>
    <t>万得全A净值</t>
  </si>
  <si>
    <t>超额收益(右轴)</t>
    <phoneticPr fontId="2" type="noConversion"/>
  </si>
  <si>
    <t>实际成长</t>
    <phoneticPr fontId="2" type="noConversion"/>
  </si>
  <si>
    <t>预期成长</t>
  </si>
  <si>
    <t>盈利能力</t>
  </si>
  <si>
    <t>质量红利</t>
  </si>
  <si>
    <t>价值红利</t>
  </si>
  <si>
    <t>破产价值</t>
  </si>
  <si>
    <t>资产比较策略</t>
  </si>
  <si>
    <t>万得全A</t>
  </si>
  <si>
    <t>超额收益</t>
  </si>
  <si>
    <t>年化收益</t>
  </si>
  <si>
    <t>中位数</t>
  </si>
  <si>
    <t>Top组中位数</t>
    <phoneticPr fontId="2" type="noConversion"/>
  </si>
  <si>
    <t>Botton组中位数</t>
    <phoneticPr fontId="2" type="noConversion"/>
  </si>
  <si>
    <t>Top组中位数-Bottom组中位数</t>
    <phoneticPr fontId="2" type="noConversion"/>
  </si>
  <si>
    <t>NaN</t>
  </si>
  <si>
    <t>Top组Beta因子暴露</t>
  </si>
  <si>
    <t>Top组近1月成交额/近3月成交额因子暴露</t>
    <phoneticPr fontId="2" type="noConversion"/>
  </si>
  <si>
    <t>预期成长策略</t>
    <phoneticPr fontId="2" type="noConversion"/>
  </si>
  <si>
    <t>实际成长策略</t>
  </si>
  <si>
    <t>盈利能力策略</t>
  </si>
  <si>
    <t>质量红利策略</t>
  </si>
  <si>
    <t>价值红利策略</t>
  </si>
  <si>
    <t>破产价值策略</t>
  </si>
  <si>
    <t>成分股数</t>
  </si>
  <si>
    <t>最大权重股</t>
  </si>
  <si>
    <t>预期成长策略推荐</t>
  </si>
  <si>
    <t>实际成长策略推荐</t>
    <phoneticPr fontId="2" type="noConversion"/>
  </si>
  <si>
    <t>盈利能力策略推荐</t>
    <phoneticPr fontId="2" type="noConversion"/>
  </si>
  <si>
    <t>质量红利策略推荐</t>
    <phoneticPr fontId="2" type="noConversion"/>
  </si>
  <si>
    <t>价值红利策略推荐</t>
    <phoneticPr fontId="2" type="noConversion"/>
  </si>
  <si>
    <t>破产价值策略推荐</t>
    <phoneticPr fontId="2" type="noConversion"/>
  </si>
  <si>
    <t>白酒</t>
  </si>
  <si>
    <t>非乳饮料</t>
  </si>
  <si>
    <t>印染</t>
  </si>
  <si>
    <t>近3月表现%</t>
    <phoneticPr fontId="2" type="noConversion"/>
  </si>
  <si>
    <t>平均总市值亿元</t>
    <phoneticPr fontId="2" type="noConversion"/>
  </si>
  <si>
    <t>实际成长</t>
  </si>
  <si>
    <t>风格类型</t>
  </si>
  <si>
    <t>筛选逻辑</t>
  </si>
  <si>
    <t>当下推荐</t>
  </si>
  <si>
    <t>分析师</t>
  </si>
  <si>
    <t>超预期</t>
  </si>
  <si>
    <t>PB-ROE</t>
  </si>
  <si>
    <t>DP+ROE</t>
  </si>
  <si>
    <t>DP+BP</t>
  </si>
  <si>
    <t>PB+SIZE</t>
    <phoneticPr fontId="2" type="noConversion"/>
  </si>
  <si>
    <t>大势研判观点</t>
    <phoneticPr fontId="2" type="noConversion"/>
  </si>
  <si>
    <t>'印染'</t>
  </si>
  <si>
    <t>贵州茅台</t>
    <phoneticPr fontId="2" type="noConversion"/>
  </si>
  <si>
    <t>'白酒'</t>
  </si>
  <si>
    <t>'非乳饮料'</t>
  </si>
  <si>
    <t>'网络接配及塔设'</t>
  </si>
  <si>
    <t>啤酒</t>
  </si>
  <si>
    <t>网络接配及塔设</t>
  </si>
  <si>
    <t>中际旭创</t>
    <phoneticPr fontId="2" type="noConversion"/>
  </si>
  <si>
    <t>玻璃纤维</t>
  </si>
  <si>
    <t>i_weight</t>
  </si>
  <si>
    <t>权重</t>
  </si>
  <si>
    <t>数据集名称</t>
    <phoneticPr fontId="2" type="noConversion"/>
  </si>
  <si>
    <t>指数权重</t>
    <phoneticPr fontId="2" type="noConversion"/>
  </si>
  <si>
    <t>日期</t>
    <phoneticPr fontId="2" type="noConversion"/>
  </si>
  <si>
    <t>20250630</t>
    <phoneticPr fontId="2" type="noConversion"/>
  </si>
  <si>
    <t>指数Wind代码</t>
    <phoneticPr fontId="2" type="noConversion"/>
  </si>
  <si>
    <t>wind_code</t>
  </si>
  <si>
    <t>Wind代码</t>
    <phoneticPr fontId="2" type="noConversion"/>
  </si>
  <si>
    <t>sec_name</t>
    <phoneticPr fontId="2" type="noConversion"/>
  </si>
  <si>
    <t>证券名称</t>
    <phoneticPr fontId="2" type="noConversion"/>
  </si>
  <si>
    <t>市值</t>
    <phoneticPr fontId="2" type="noConversion"/>
  </si>
  <si>
    <t>'棉纺制品'</t>
  </si>
  <si>
    <t>线缆</t>
  </si>
  <si>
    <t>车用电机电控</t>
  </si>
  <si>
    <t>化学制剂</t>
  </si>
  <si>
    <t>动物疫苗及兽药</t>
  </si>
  <si>
    <t>稀土及磁性材料</t>
  </si>
  <si>
    <t>棉纺制品</t>
  </si>
  <si>
    <t>锂电设备</t>
  </si>
  <si>
    <t>包装印刷</t>
  </si>
  <si>
    <t>航民股份</t>
    <phoneticPr fontId="2" type="noConversion"/>
  </si>
  <si>
    <t>'锂电化学品'</t>
  </si>
  <si>
    <t>氟化工</t>
  </si>
  <si>
    <t>半导体材料</t>
  </si>
  <si>
    <t>供热或其他</t>
  </si>
  <si>
    <t>核电</t>
  </si>
  <si>
    <t>锂电化学品</t>
  </si>
  <si>
    <t>电机</t>
  </si>
  <si>
    <t>储能</t>
  </si>
  <si>
    <t>铜</t>
  </si>
  <si>
    <t>其他电子零组件Ⅲ</t>
  </si>
  <si>
    <t>LED</t>
  </si>
  <si>
    <t>天赐材料</t>
    <phoneticPr fontId="2" type="noConversion"/>
  </si>
  <si>
    <t>'日用化学品'</t>
  </si>
  <si>
    <t>'锅炉设备'</t>
  </si>
  <si>
    <t>'建筑装修Ⅲ'</t>
  </si>
  <si>
    <t>'配电设备'</t>
  </si>
  <si>
    <t>'其他家电'</t>
  </si>
  <si>
    <t>'宠物食品'</t>
  </si>
  <si>
    <t>'安防'</t>
  </si>
  <si>
    <t>CI005030.WI</t>
  </si>
  <si>
    <t>综合金融</t>
  </si>
  <si>
    <t>CI005102.WI</t>
  </si>
  <si>
    <t>石油化工</t>
  </si>
  <si>
    <t>CI005105.WI</t>
  </si>
  <si>
    <t>煤炭化工</t>
  </si>
  <si>
    <t>CI005109.WI</t>
  </si>
  <si>
    <t>发电及电网</t>
  </si>
  <si>
    <t>CI005111.WI</t>
  </si>
  <si>
    <t>普钢</t>
  </si>
  <si>
    <t>CI005113.WI</t>
  </si>
  <si>
    <t>农用化工</t>
  </si>
  <si>
    <t>CI005124.WI</t>
  </si>
  <si>
    <t>工程机械Ⅱ</t>
  </si>
  <si>
    <t>CI005143.WI</t>
  </si>
  <si>
    <t>旅游及休闲</t>
  </si>
  <si>
    <t>CI005144.WI</t>
  </si>
  <si>
    <t>酒店及餐饮</t>
  </si>
  <si>
    <t>CI005162.WI</t>
  </si>
  <si>
    <t>渔业</t>
  </si>
  <si>
    <t>CI005171.WI</t>
  </si>
  <si>
    <t>物流</t>
  </si>
  <si>
    <t>CI005172.WI</t>
  </si>
  <si>
    <t>航运港口</t>
  </si>
  <si>
    <t>CI005173.WI</t>
  </si>
  <si>
    <t>航空机场</t>
  </si>
  <si>
    <t>CI005187.WI</t>
  </si>
  <si>
    <t>油服工程</t>
  </si>
  <si>
    <t>CI005189.WI</t>
  </si>
  <si>
    <t>其他钢铁</t>
  </si>
  <si>
    <t>CI005191.WI</t>
  </si>
  <si>
    <t>化学纤维</t>
  </si>
  <si>
    <t>CI005192.WI</t>
  </si>
  <si>
    <t>化学原料</t>
  </si>
  <si>
    <t>CI005194.WI</t>
  </si>
  <si>
    <t>塑料及制品</t>
  </si>
  <si>
    <t>CI005195.WI</t>
  </si>
  <si>
    <t>橡胶及制品</t>
  </si>
  <si>
    <t>CI005801.WI</t>
  </si>
  <si>
    <t>CI005802.WI</t>
  </si>
  <si>
    <t>家居</t>
  </si>
  <si>
    <t>CI005811.WI</t>
  </si>
  <si>
    <t>一般零售</t>
  </si>
  <si>
    <t>CI005813.WI</t>
  </si>
  <si>
    <t>专营连锁</t>
  </si>
  <si>
    <t>CI005816.WI</t>
  </si>
  <si>
    <t>教育</t>
  </si>
  <si>
    <t>CI005817.WI</t>
  </si>
  <si>
    <t>综合服务</t>
  </si>
  <si>
    <t>CI005821.WI</t>
  </si>
  <si>
    <t>品牌服饰</t>
  </si>
  <si>
    <t>CI005824.WI</t>
  </si>
  <si>
    <t>种植业</t>
  </si>
  <si>
    <t>CI005828.WI</t>
  </si>
  <si>
    <t>多元金融</t>
  </si>
  <si>
    <t>CI005829.WI</t>
  </si>
  <si>
    <t>房地产服务</t>
  </si>
  <si>
    <t>CI005830.WI</t>
  </si>
  <si>
    <t>资产管理Ⅱ</t>
  </si>
  <si>
    <t>CI005831.WI</t>
  </si>
  <si>
    <t>多领域控股Ⅱ</t>
  </si>
  <si>
    <t>CI005832.WI</t>
  </si>
  <si>
    <t>新兴金融服务Ⅱ</t>
  </si>
  <si>
    <t>CI005837.WI</t>
  </si>
  <si>
    <t>消费电子</t>
  </si>
  <si>
    <t>CI005841.WI</t>
  </si>
  <si>
    <t>通讯工程服务</t>
  </si>
  <si>
    <t>CI005842.WI</t>
  </si>
  <si>
    <t>计算机设备</t>
  </si>
  <si>
    <t>CI005843.WI</t>
  </si>
  <si>
    <t>计算机软件</t>
  </si>
  <si>
    <t>CI005844.WI</t>
  </si>
  <si>
    <t>云服务</t>
  </si>
  <si>
    <t>CI005845.WI</t>
  </si>
  <si>
    <t>产业互联网</t>
  </si>
  <si>
    <t>CI005847.WI</t>
  </si>
  <si>
    <t>广告营销</t>
  </si>
  <si>
    <t>CI005848.WI</t>
  </si>
  <si>
    <t>文化娱乐</t>
  </si>
  <si>
    <t>CI005849.WI</t>
  </si>
  <si>
    <t>互联网媒体</t>
  </si>
  <si>
    <t>CI005201.WI</t>
  </si>
  <si>
    <t>石油开采Ⅲ</t>
  </si>
  <si>
    <t>CI005208.WI</t>
  </si>
  <si>
    <t>动力煤</t>
  </si>
  <si>
    <t>CI005210.WI</t>
  </si>
  <si>
    <t>炼焦煤</t>
  </si>
  <si>
    <t>CI005213.WI</t>
  </si>
  <si>
    <t>黄金</t>
  </si>
  <si>
    <t>CI005214.WI</t>
  </si>
  <si>
    <t>CI005215.WI</t>
  </si>
  <si>
    <t>铅锌</t>
  </si>
  <si>
    <t>CI005218.WI</t>
  </si>
  <si>
    <t>铝</t>
  </si>
  <si>
    <t>CI005226.WI</t>
  </si>
  <si>
    <t>燃气</t>
  </si>
  <si>
    <t>CI005227.WI</t>
  </si>
  <si>
    <t>CI005230.WI</t>
  </si>
  <si>
    <t>特钢</t>
  </si>
  <si>
    <t>CI005247.WI</t>
  </si>
  <si>
    <t>CI005248.WI</t>
  </si>
  <si>
    <t>有机硅</t>
  </si>
  <si>
    <t>CI005250.WI</t>
  </si>
  <si>
    <t>聚氨酯</t>
  </si>
  <si>
    <t>CI005252.WI</t>
  </si>
  <si>
    <t>日用化学品</t>
  </si>
  <si>
    <t>CI005253.WI</t>
  </si>
  <si>
    <t>民爆用品</t>
  </si>
  <si>
    <t>CI005255.WI</t>
  </si>
  <si>
    <t>印染化学品</t>
  </si>
  <si>
    <t>CI005259.WI</t>
  </si>
  <si>
    <t>水泥</t>
  </si>
  <si>
    <t>CI005261.WI</t>
  </si>
  <si>
    <t>陶瓷</t>
  </si>
  <si>
    <t>CI005263.WI</t>
  </si>
  <si>
    <t>造纸Ⅲ</t>
  </si>
  <si>
    <t>CI005271.WI</t>
  </si>
  <si>
    <t>锅炉设备</t>
  </si>
  <si>
    <t>CI005276.WI</t>
  </si>
  <si>
    <t>铁路交通设备</t>
  </si>
  <si>
    <t>CI005277.WI</t>
  </si>
  <si>
    <t>船舶制造</t>
  </si>
  <si>
    <t>CI005280.WI</t>
  </si>
  <si>
    <t>金属制品Ⅲ</t>
  </si>
  <si>
    <t>CI005284.WI</t>
  </si>
  <si>
    <t>风电</t>
  </si>
  <si>
    <t>CI005286.WI</t>
  </si>
  <si>
    <t>太阳能</t>
  </si>
  <si>
    <t>CI005287.WI</t>
  </si>
  <si>
    <t>航空军工</t>
  </si>
  <si>
    <t>CI005288.WI</t>
  </si>
  <si>
    <t>航天军工</t>
  </si>
  <si>
    <t>CI005289.WI</t>
  </si>
  <si>
    <t>兵器兵装Ⅲ</t>
  </si>
  <si>
    <t>CI005290.WI</t>
  </si>
  <si>
    <t>其他军工Ⅲ</t>
  </si>
  <si>
    <t>CI005291.WI</t>
  </si>
  <si>
    <t>乘用车Ⅲ</t>
  </si>
  <si>
    <t>CI005292.WI</t>
  </si>
  <si>
    <t>卡车</t>
  </si>
  <si>
    <t>CI005293.WI</t>
  </si>
  <si>
    <t>客车</t>
  </si>
  <si>
    <t>CI005294.WI</t>
  </si>
  <si>
    <t>专用汽车</t>
  </si>
  <si>
    <t>CI005295.WI</t>
  </si>
  <si>
    <t>汽车零部件Ⅲ</t>
  </si>
  <si>
    <t>CI005296.WI</t>
  </si>
  <si>
    <t>汽车销售及服务Ⅲ</t>
  </si>
  <si>
    <t>CI005297.WI</t>
  </si>
  <si>
    <t>摩托车及其他Ⅲ</t>
  </si>
  <si>
    <t>CI005306.WI</t>
  </si>
  <si>
    <t>白色家电Ⅲ</t>
  </si>
  <si>
    <t>CI005307.WI</t>
  </si>
  <si>
    <t>黑色家电Ⅲ</t>
  </si>
  <si>
    <t>CI005309.WI</t>
  </si>
  <si>
    <t>照明电工</t>
  </si>
  <si>
    <t>CI005316.WI</t>
  </si>
  <si>
    <t>化学原料药</t>
  </si>
  <si>
    <t>CI005317.WI</t>
  </si>
  <si>
    <t>CI005318.WI</t>
  </si>
  <si>
    <t>中药饮片</t>
  </si>
  <si>
    <t>CI005319.WI</t>
  </si>
  <si>
    <t>中成药</t>
  </si>
  <si>
    <t>CI005320.WI</t>
  </si>
  <si>
    <t>生物医药Ⅲ</t>
  </si>
  <si>
    <t>CI005321.WI</t>
  </si>
  <si>
    <t>医药流通</t>
  </si>
  <si>
    <t>CI005322.WI</t>
  </si>
  <si>
    <t>医疗器械</t>
  </si>
  <si>
    <t>CI005323.WI</t>
  </si>
  <si>
    <t>医疗服务</t>
  </si>
  <si>
    <t>CI005324.WI</t>
  </si>
  <si>
    <t>CI005325.WI</t>
  </si>
  <si>
    <t>CI005328.WI</t>
  </si>
  <si>
    <t>CI005330.WI</t>
  </si>
  <si>
    <t>调味品</t>
  </si>
  <si>
    <t>CI005331.WI</t>
  </si>
  <si>
    <t>乳制品</t>
  </si>
  <si>
    <t>CI005337.WI</t>
  </si>
  <si>
    <t>CI005342.WI</t>
  </si>
  <si>
    <t>国有大型银行Ⅲ</t>
  </si>
  <si>
    <t>CI005343.WI</t>
  </si>
  <si>
    <t>全国性股份制银行Ⅲ</t>
  </si>
  <si>
    <t>CI005344.WI</t>
  </si>
  <si>
    <t>城商行</t>
  </si>
  <si>
    <t>CI005345.WI</t>
  </si>
  <si>
    <t>证券Ⅲ</t>
  </si>
  <si>
    <t>CI005346.WI</t>
  </si>
  <si>
    <t>保险Ⅲ</t>
  </si>
  <si>
    <t>CI005349.WI</t>
  </si>
  <si>
    <t>住宅物业开发</t>
  </si>
  <si>
    <t>CI005350.WI</t>
  </si>
  <si>
    <t>非住宅物业开发和运营</t>
  </si>
  <si>
    <t>CI005351.WI</t>
  </si>
  <si>
    <t>园区综合开发</t>
  </si>
  <si>
    <t>CI005353.WI</t>
  </si>
  <si>
    <t>公路</t>
  </si>
  <si>
    <t>CI005354.WI</t>
  </si>
  <si>
    <t>铁路</t>
  </si>
  <si>
    <t>CI005355.WI</t>
  </si>
  <si>
    <t>公交</t>
  </si>
  <si>
    <t>CI005369.WI</t>
  </si>
  <si>
    <t>出版</t>
  </si>
  <si>
    <t>CI005374.WI</t>
  </si>
  <si>
    <t>综合Ⅲ</t>
  </si>
  <si>
    <t>CI005381.WI</t>
  </si>
  <si>
    <t>CI005386.WI</t>
  </si>
  <si>
    <t>CI005387.WI</t>
  </si>
  <si>
    <t>非棉纺织品</t>
  </si>
  <si>
    <t>CI005388.WI</t>
  </si>
  <si>
    <t>CI005398.WI</t>
  </si>
  <si>
    <t>无烟煤</t>
  </si>
  <si>
    <t>CI005399.WI</t>
  </si>
  <si>
    <t>CI005400.WI</t>
  </si>
  <si>
    <t>镍钴锡锑</t>
  </si>
  <si>
    <t>CI005401.WI</t>
  </si>
  <si>
    <t>钨</t>
  </si>
  <si>
    <t>CI005402.WI</t>
  </si>
  <si>
    <t>锂</t>
  </si>
  <si>
    <t>CI005403.WI</t>
  </si>
  <si>
    <t>其他稀有金属</t>
  </si>
  <si>
    <t>CI005406.WI</t>
  </si>
  <si>
    <t>环保及水务</t>
  </si>
  <si>
    <t>CI005420.WI</t>
  </si>
  <si>
    <t>CI005421.WI</t>
  </si>
  <si>
    <t>涂料油墨颜料</t>
  </si>
  <si>
    <t>CI005422.WI</t>
  </si>
  <si>
    <t>橡胶助剂</t>
  </si>
  <si>
    <t>CI005423.WI</t>
  </si>
  <si>
    <t>其他化学制品Ⅲ</t>
  </si>
  <si>
    <t>CI005424.WI</t>
  </si>
  <si>
    <t>食品及饲料添加剂</t>
  </si>
  <si>
    <t>CI005425.WI</t>
  </si>
  <si>
    <t>电子化学品</t>
  </si>
  <si>
    <t>CI005432.WI</t>
  </si>
  <si>
    <t>房建建设</t>
  </si>
  <si>
    <t>CI005433.WI</t>
  </si>
  <si>
    <t>基建建设</t>
  </si>
  <si>
    <t>CI005434.WI</t>
  </si>
  <si>
    <t>园林工程</t>
  </si>
  <si>
    <t>CI005435.WI</t>
  </si>
  <si>
    <t>专业工程及其他</t>
  </si>
  <si>
    <t>CI005436.WI</t>
  </si>
  <si>
    <t>建筑装修Ⅲ</t>
  </si>
  <si>
    <t>CI005437.WI</t>
  </si>
  <si>
    <t>建筑设计及服务Ⅲ</t>
  </si>
  <si>
    <t>CI005438.WI</t>
  </si>
  <si>
    <t>玻璃</t>
  </si>
  <si>
    <t>CI005439.WI</t>
  </si>
  <si>
    <t>其他结构材料</t>
  </si>
  <si>
    <t>CI005440.WI</t>
  </si>
  <si>
    <t>其他装饰材料</t>
  </si>
  <si>
    <t>CI005441.WI</t>
  </si>
  <si>
    <t>CI005442.WI</t>
  </si>
  <si>
    <t>其他专用材料</t>
  </si>
  <si>
    <t>CI005449.WI</t>
  </si>
  <si>
    <t>文娱轻工Ⅲ</t>
  </si>
  <si>
    <t>CI005450.WI</t>
  </si>
  <si>
    <t>其他轻工Ⅲ</t>
  </si>
  <si>
    <t>CI005454.WI</t>
  </si>
  <si>
    <t>矿山冶金机械</t>
  </si>
  <si>
    <t>CI005455.WI</t>
  </si>
  <si>
    <t>纺织服装机械</t>
  </si>
  <si>
    <t>CI005456.WI</t>
  </si>
  <si>
    <t>其他专用机械</t>
  </si>
  <si>
    <t>CI005457.WI</t>
  </si>
  <si>
    <t>油气装备</t>
  </si>
  <si>
    <t>CI005458.WI</t>
  </si>
  <si>
    <t>核电设备</t>
  </si>
  <si>
    <t>CI005459.WI</t>
  </si>
  <si>
    <t>光伏设备</t>
  </si>
  <si>
    <t>CI005460.WI</t>
  </si>
  <si>
    <t>3C设备</t>
  </si>
  <si>
    <t>CI005461.WI</t>
  </si>
  <si>
    <t>CI005462.WI</t>
  </si>
  <si>
    <t>机床设备</t>
  </si>
  <si>
    <t>CI005463.WI</t>
  </si>
  <si>
    <t>起重运输设备</t>
  </si>
  <si>
    <t>CI005464.WI</t>
  </si>
  <si>
    <t>基础件</t>
  </si>
  <si>
    <t>CI005465.WI</t>
  </si>
  <si>
    <t>其他通用机械</t>
  </si>
  <si>
    <t>CI005466.WI</t>
  </si>
  <si>
    <t>工业机器人及工控系统</t>
  </si>
  <si>
    <t>CI005467.WI</t>
  </si>
  <si>
    <t>服务机器人</t>
  </si>
  <si>
    <t>CI005468.WI</t>
  </si>
  <si>
    <t>塑料加工机械</t>
  </si>
  <si>
    <t>CI005469.WI</t>
  </si>
  <si>
    <t>激光加工设备</t>
  </si>
  <si>
    <t>CI005470.WI</t>
  </si>
  <si>
    <t>其他运输设备</t>
  </si>
  <si>
    <t>CI005471.WI</t>
  </si>
  <si>
    <t>仪器仪表Ⅲ</t>
  </si>
  <si>
    <t>CI005472.WI</t>
  </si>
  <si>
    <t>输变电设备</t>
  </si>
  <si>
    <t>CI005473.WI</t>
  </si>
  <si>
    <t>配电设备</t>
  </si>
  <si>
    <t>CI005474.WI</t>
  </si>
  <si>
    <t>电力电子及自动化</t>
  </si>
  <si>
    <t>CI005475.WI</t>
  </si>
  <si>
    <t>CI005476.WI</t>
  </si>
  <si>
    <t>CI005477.WI</t>
  </si>
  <si>
    <t>CI005478.WI</t>
  </si>
  <si>
    <t>综合能源设备</t>
  </si>
  <si>
    <t>CI005479.WI</t>
  </si>
  <si>
    <t>锂电池</t>
  </si>
  <si>
    <t>CI005480.WI</t>
  </si>
  <si>
    <t>燃料电池</t>
  </si>
  <si>
    <t>CI005481.WI</t>
  </si>
  <si>
    <t>CI005482.WI</t>
  </si>
  <si>
    <t>电池综合服务</t>
  </si>
  <si>
    <t>CI005485.WI</t>
  </si>
  <si>
    <t>贸易Ⅲ</t>
  </si>
  <si>
    <t>CI005490.WI</t>
  </si>
  <si>
    <t>电商及服务Ⅲ</t>
  </si>
  <si>
    <t>CI005491.WI</t>
  </si>
  <si>
    <t>专业市场经营Ⅲ</t>
  </si>
  <si>
    <t>CI005503.WI</t>
  </si>
  <si>
    <t>小家电Ⅲ</t>
  </si>
  <si>
    <t>CI005504.WI</t>
  </si>
  <si>
    <t>其他家电</t>
  </si>
  <si>
    <t>CI005505.WI</t>
  </si>
  <si>
    <t>厨房电器Ⅲ</t>
  </si>
  <si>
    <t>CI005506.WI</t>
  </si>
  <si>
    <t>其他纺织</t>
  </si>
  <si>
    <t>CI005512.WI</t>
  </si>
  <si>
    <t>其他酒</t>
  </si>
  <si>
    <t>CI005513.WI</t>
  </si>
  <si>
    <t>肉制品</t>
  </si>
  <si>
    <t>CI005514.WI</t>
  </si>
  <si>
    <t>其他食品</t>
  </si>
  <si>
    <t>CI005515.WI</t>
  </si>
  <si>
    <t>休闲食品</t>
  </si>
  <si>
    <t>CI005516.WI</t>
  </si>
  <si>
    <t>速冻食品</t>
  </si>
  <si>
    <t>CI005518.WI</t>
  </si>
  <si>
    <t>饲料加工</t>
  </si>
  <si>
    <t>CI005519.WI</t>
  </si>
  <si>
    <t>畜牧养殖</t>
  </si>
  <si>
    <t>CI005520.WI</t>
  </si>
  <si>
    <t>林木及加工</t>
  </si>
  <si>
    <t>CI005522.WI</t>
  </si>
  <si>
    <t>农产品加工Ⅲ</t>
  </si>
  <si>
    <t>CI005523.WI</t>
  </si>
  <si>
    <t>宠物食品</t>
  </si>
  <si>
    <t>CI005524.WI</t>
  </si>
  <si>
    <t>农商行</t>
  </si>
  <si>
    <t>CI005538.WI</t>
  </si>
  <si>
    <t>集成电路</t>
  </si>
  <si>
    <t>CI005539.WI</t>
  </si>
  <si>
    <t>分立器件</t>
  </si>
  <si>
    <t>CI005540.WI</t>
  </si>
  <si>
    <t>CI005541.WI</t>
  </si>
  <si>
    <t>半导体设备</t>
  </si>
  <si>
    <t>CI005542.WI</t>
  </si>
  <si>
    <t>PCB</t>
  </si>
  <si>
    <t>CI005543.WI</t>
  </si>
  <si>
    <t>被动元件</t>
  </si>
  <si>
    <t>CI005544.WI</t>
  </si>
  <si>
    <t>安防</t>
  </si>
  <si>
    <t>CI005545.WI</t>
  </si>
  <si>
    <t>CI005546.WI</t>
  </si>
  <si>
    <t>面板</t>
  </si>
  <si>
    <t>CI005547.WI</t>
  </si>
  <si>
    <t>显示零组</t>
  </si>
  <si>
    <t>CI005550.WI</t>
  </si>
  <si>
    <t>CI005551.WI</t>
  </si>
  <si>
    <t>电信运营Ⅲ</t>
  </si>
  <si>
    <t>CI005553.WI</t>
  </si>
  <si>
    <t>其他通信设备</t>
  </si>
  <si>
    <t>CI005554.WI</t>
  </si>
  <si>
    <t>通信终端及配件</t>
  </si>
  <si>
    <t>CI005555.WI</t>
  </si>
  <si>
    <t>CI005556.WI</t>
  </si>
  <si>
    <t>系统设备</t>
  </si>
  <si>
    <t>CI005557.WI</t>
  </si>
  <si>
    <t>增值服务Ⅲ</t>
  </si>
  <si>
    <t>CI005572.WI</t>
  </si>
  <si>
    <t>广播电视</t>
  </si>
  <si>
    <t>delta</t>
    <phoneticPr fontId="2" type="noConversion"/>
  </si>
  <si>
    <t>三花智控</t>
    <phoneticPr fontId="2" type="noConversion"/>
  </si>
  <si>
    <t>正泰电器</t>
    <phoneticPr fontId="2" type="noConversion"/>
  </si>
  <si>
    <t>东鹏特饮</t>
    <phoneticPr fontId="2" type="noConversion"/>
  </si>
  <si>
    <t>川润股份</t>
    <phoneticPr fontId="2" type="noConversion"/>
  </si>
  <si>
    <t>海康威视</t>
    <phoneticPr fontId="2" type="noConversion"/>
  </si>
  <si>
    <t>珀莱雅</t>
    <phoneticPr fontId="2" type="noConversion"/>
  </si>
  <si>
    <t>中宠股份</t>
    <phoneticPr fontId="2" type="noConversion"/>
  </si>
  <si>
    <t>金螳螂</t>
    <phoneticPr fontId="2" type="noConversion"/>
  </si>
  <si>
    <t>'锂'</t>
  </si>
  <si>
    <t>'客车'</t>
  </si>
  <si>
    <t>'林木及加工'</t>
  </si>
  <si>
    <t>'汽车销售及服务Ⅲ'</t>
  </si>
  <si>
    <t>002240.SZ</t>
    <phoneticPr fontId="2" type="noConversion"/>
  </si>
  <si>
    <t>赣锋锂业</t>
    <phoneticPr fontId="2" type="noConversion"/>
  </si>
  <si>
    <t>002466.SZ</t>
    <phoneticPr fontId="2" type="noConversion"/>
  </si>
  <si>
    <t>天齐锂业</t>
    <phoneticPr fontId="2" type="noConversion"/>
  </si>
  <si>
    <t>雅化集团</t>
    <phoneticPr fontId="2" type="noConversion"/>
  </si>
  <si>
    <t>002756.SZ</t>
    <phoneticPr fontId="2" type="noConversion"/>
  </si>
  <si>
    <t>宇通客车</t>
    <phoneticPr fontId="2" type="noConversion"/>
  </si>
  <si>
    <t>平潭发展</t>
    <phoneticPr fontId="2" type="noConversion"/>
  </si>
  <si>
    <t>国机汽车</t>
    <phoneticPr fontId="2" type="noConversion"/>
  </si>
  <si>
    <t>'钨'</t>
  </si>
  <si>
    <t>'新兴金融服务Ⅱ'</t>
  </si>
  <si>
    <t>'光伏设备'</t>
  </si>
  <si>
    <t>'电子化学品'</t>
  </si>
  <si>
    <t>'航天军工'</t>
  </si>
  <si>
    <t>'种植业'</t>
  </si>
  <si>
    <t>'公交'</t>
  </si>
  <si>
    <t>'燃料电池'</t>
  </si>
  <si>
    <t>'陶瓷'</t>
  </si>
  <si>
    <t>中汽股份</t>
    <phoneticPr fontId="2" type="noConversion"/>
  </si>
  <si>
    <t>申华控股</t>
    <phoneticPr fontId="2" type="noConversion"/>
  </si>
  <si>
    <t>002676.SZ</t>
    <phoneticPr fontId="2" type="noConversion"/>
  </si>
  <si>
    <t>顺威股份</t>
    <phoneticPr fontId="2" type="noConversion"/>
  </si>
  <si>
    <t>星帅尔</t>
    <phoneticPr fontId="2" type="noConversion"/>
  </si>
  <si>
    <t>003028.SZ</t>
    <phoneticPr fontId="2" type="noConversion"/>
  </si>
  <si>
    <t>振邦智能</t>
    <phoneticPr fontId="2" type="noConversion"/>
  </si>
  <si>
    <t>300342.SZ</t>
    <phoneticPr fontId="2" type="noConversion"/>
  </si>
  <si>
    <t>300403.SZ</t>
    <phoneticPr fontId="2" type="noConversion"/>
  </si>
  <si>
    <t>600619.SH</t>
    <phoneticPr fontId="2" type="noConversion"/>
  </si>
  <si>
    <t>603219.SH</t>
    <phoneticPr fontId="2" type="noConversion"/>
  </si>
  <si>
    <t>603578.SH</t>
    <phoneticPr fontId="2" type="noConversion"/>
  </si>
  <si>
    <t>拉卡拉</t>
    <phoneticPr fontId="2" type="noConversion"/>
  </si>
  <si>
    <t>翠微股份</t>
    <phoneticPr fontId="2" type="noConversion"/>
  </si>
  <si>
    <t>中钨高新</t>
    <phoneticPr fontId="2" type="noConversion"/>
  </si>
  <si>
    <t>章源钨业</t>
    <phoneticPr fontId="2" type="noConversion"/>
  </si>
  <si>
    <t>厦门钨业</t>
    <phoneticPr fontId="2" type="noConversion"/>
  </si>
  <si>
    <t>迈为股份</t>
    <phoneticPr fontId="2" type="noConversion"/>
  </si>
  <si>
    <t>鼎龙股份</t>
    <phoneticPr fontId="2" type="noConversion"/>
  </si>
  <si>
    <t>中国卫星</t>
    <phoneticPr fontId="2" type="noConversion"/>
  </si>
  <si>
    <t>万辰集团</t>
    <phoneticPr fontId="2" type="noConversion"/>
  </si>
  <si>
    <t>大众交通</t>
    <phoneticPr fontId="2" type="noConversion"/>
  </si>
  <si>
    <t>安泰科技</t>
    <phoneticPr fontId="2" type="noConversion"/>
  </si>
  <si>
    <t>东鹏控股</t>
    <phoneticPr fontId="2" type="noConversion"/>
  </si>
  <si>
    <t>孚日股份</t>
    <phoneticPr fontId="2" type="noConversion"/>
  </si>
  <si>
    <r>
      <t xml:space="preserve">综合判断占优风格：预期成长、实际成长、盈利能力
</t>
    </r>
    <r>
      <rPr>
        <sz val="9"/>
        <color rgb="FF000000"/>
        <rFont val="微软雅黑"/>
        <family val="2"/>
        <charset val="134"/>
      </rPr>
      <t xml:space="preserve">
- 预期增速资产优势差继续回升，</t>
    </r>
    <r>
      <rPr>
        <u/>
        <sz val="9"/>
        <color rgb="FF000000"/>
        <rFont val="微软雅黑"/>
        <family val="2"/>
        <charset val="134"/>
      </rPr>
      <t>主题类成长风格</t>
    </r>
    <r>
      <rPr>
        <sz val="9"/>
        <color rgb="FF000000"/>
        <rFont val="微软雅黑"/>
        <family val="2"/>
        <charset val="134"/>
      </rPr>
      <t>继续推荐；
- 实际增速资产优势差小幅回升，</t>
    </r>
    <r>
      <rPr>
        <u/>
        <sz val="9"/>
        <color rgb="FF000000"/>
        <rFont val="微软雅黑"/>
        <family val="2"/>
        <charset val="134"/>
      </rPr>
      <t>景气类策略</t>
    </r>
    <r>
      <rPr>
        <sz val="9"/>
        <color rgb="FF000000"/>
        <rFont val="微软雅黑"/>
        <family val="2"/>
        <charset val="134"/>
      </rPr>
      <t>宜保持标配；
- ROE的优势差继续上行，拥挤度较低下，</t>
    </r>
    <r>
      <rPr>
        <u/>
        <sz val="9"/>
        <color rgb="FF000000"/>
        <rFont val="微软雅黑"/>
        <family val="2"/>
        <charset val="134"/>
      </rPr>
      <t>盈利能力策略</t>
    </r>
    <r>
      <rPr>
        <sz val="9"/>
        <color rgb="FF000000"/>
        <rFont val="微软雅黑"/>
        <family val="2"/>
        <charset val="134"/>
      </rPr>
      <t>可继续增配；
- 高股息类资产当下的拥挤度仍高，继续不建议超配；
- Δgf、Δg、ΔROE同处扩张，</t>
    </r>
    <r>
      <rPr>
        <b/>
        <sz val="9"/>
        <color rgb="FF000000"/>
        <rFont val="微软雅黑"/>
        <family val="2"/>
        <charset val="134"/>
      </rPr>
      <t>1月推荐预期成长+实际成长+盈利能力风格</t>
    </r>
    <r>
      <rPr>
        <sz val="9"/>
        <color rgb="FF000000"/>
        <rFont val="微软雅黑"/>
        <family val="2"/>
        <charset val="134"/>
      </rPr>
      <t xml:space="preserve">。
</t>
    </r>
    <phoneticPr fontId="2" type="noConversion"/>
  </si>
  <si>
    <t>融捷股份</t>
    <phoneticPr fontId="2" type="noConversion"/>
  </si>
  <si>
    <t>盛新锂能</t>
    <phoneticPr fontId="2" type="noConversion"/>
  </si>
  <si>
    <t>002460.SZ</t>
    <phoneticPr fontId="2" type="noConversion"/>
  </si>
  <si>
    <t>002497.SZ</t>
    <phoneticPr fontId="2" type="noConversion"/>
  </si>
  <si>
    <t>002738.SZ</t>
    <phoneticPr fontId="2" type="noConversion"/>
  </si>
  <si>
    <t>中矿资源</t>
    <phoneticPr fontId="2" type="noConversion"/>
  </si>
  <si>
    <t>永兴材料</t>
    <phoneticPr fontId="2" type="noConversion"/>
  </si>
  <si>
    <t>长虹华意</t>
    <phoneticPr fontId="2" type="noConversion"/>
  </si>
  <si>
    <t>002050.SZ</t>
    <phoneticPr fontId="2" type="noConversion"/>
  </si>
  <si>
    <t>002290.SZ</t>
    <phoneticPr fontId="2" type="noConversion"/>
  </si>
  <si>
    <t>禾盛新材</t>
    <phoneticPr fontId="2" type="noConversion"/>
  </si>
  <si>
    <t>002418.SZ</t>
    <phoneticPr fontId="2" type="noConversion"/>
  </si>
  <si>
    <t>康盛股份</t>
    <phoneticPr fontId="2" type="noConversion"/>
  </si>
  <si>
    <t>002860.SZ</t>
    <phoneticPr fontId="2" type="noConversion"/>
  </si>
  <si>
    <t>300217.SZ</t>
    <phoneticPr fontId="2" type="noConversion"/>
  </si>
  <si>
    <t>东方电热</t>
    <phoneticPr fontId="2" type="noConversion"/>
  </si>
  <si>
    <t>300279.SZ</t>
    <phoneticPr fontId="2" type="noConversion"/>
  </si>
  <si>
    <t>和晶科技</t>
    <phoneticPr fontId="2" type="noConversion"/>
  </si>
  <si>
    <t>天银机电</t>
    <phoneticPr fontId="2" type="noConversion"/>
  </si>
  <si>
    <t>汉宇集团</t>
    <phoneticPr fontId="2" type="noConversion"/>
  </si>
  <si>
    <t>301135.SZ</t>
    <phoneticPr fontId="2" type="noConversion"/>
  </si>
  <si>
    <t>瑞德智能</t>
    <phoneticPr fontId="2" type="noConversion"/>
  </si>
  <si>
    <t>海立股份</t>
    <phoneticPr fontId="2" type="noConversion"/>
  </si>
  <si>
    <t>富佳股份</t>
    <phoneticPr fontId="2" type="noConversion"/>
  </si>
  <si>
    <t>三星新材</t>
    <phoneticPr fontId="2" type="noConversion"/>
  </si>
  <si>
    <t>603657.SH</t>
    <phoneticPr fontId="2" type="noConversion"/>
  </si>
  <si>
    <t>春光科技</t>
    <phoneticPr fontId="2" type="noConversion"/>
  </si>
  <si>
    <t>603677.SH</t>
    <phoneticPr fontId="2" type="noConversion"/>
  </si>
  <si>
    <t>奇精机械</t>
    <phoneticPr fontId="2" type="noConversion"/>
  </si>
  <si>
    <t>002378.SZ</t>
    <phoneticPr fontId="2" type="noConversion"/>
  </si>
  <si>
    <t>002842.SZ</t>
    <phoneticPr fontId="2" type="noConversion"/>
  </si>
  <si>
    <t>翔鹭钨业</t>
    <phoneticPr fontId="2" type="noConversion"/>
  </si>
  <si>
    <t>600549.SH</t>
    <phoneticPr fontId="2" type="noConversion"/>
  </si>
  <si>
    <t>603123.SH</t>
    <phoneticPr fontId="2" type="noConversion"/>
  </si>
  <si>
    <t>浩物股份</t>
    <phoneticPr fontId="2" type="noConversion"/>
  </si>
  <si>
    <t>301215.SZ</t>
    <phoneticPr fontId="2" type="noConversion"/>
  </si>
  <si>
    <t>600335.SH</t>
    <phoneticPr fontId="2" type="noConversion"/>
  </si>
  <si>
    <t>600653.SH</t>
    <phoneticPr fontId="2" type="noConversion"/>
  </si>
  <si>
    <t>605151.SH</t>
    <phoneticPr fontId="2" type="noConversion"/>
  </si>
  <si>
    <t>西上海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</si>
</sst>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,###,##0.0000"/>
    <numFmt numFmtId="177" formatCode="yyyy\-mm"/>
    <numFmt numFmtId="178" formatCode="###,###,##0.00"/>
    <numFmt numFmtId="179" formatCode="#,##0.######"/>
    <numFmt numFmtId="180" formatCode="#,##0.0000_ "/>
  </numFmts>
  <fonts count="2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2"/>
      <charset val="134"/>
      <scheme val="minor"/>
    </font>
    <font>
      <sz val="11"/>
      <color rgb="FF0000FF"/>
      <name val="等线"/>
      <family val="2"/>
      <charset val="134"/>
      <scheme val="minor"/>
    </font>
    <font>
      <b/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theme="0"/>
      <name val="等线"/>
      <family val="3"/>
      <charset val="134"/>
      <scheme val="minor"/>
    </font>
    <font>
      <sz val="11"/>
      <color theme="1" tint="0.249977111117893"/>
      <name val="等线"/>
      <family val="2"/>
      <charset val="134"/>
      <scheme val="minor"/>
    </font>
    <font>
      <b/>
      <sz val="11"/>
      <color theme="1" tint="0.249977111117893"/>
      <name val="等线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等线"/>
      <family val="2"/>
      <charset val="134"/>
      <scheme val="minor"/>
    </font>
    <font>
      <sz val="9"/>
      <color rgb="FF000000"/>
      <name val="微软雅黑"/>
      <family val="2"/>
      <charset val="134"/>
    </font>
    <font>
      <sz val="9"/>
      <color rgb="FF000000"/>
      <name val="等线"/>
      <family val="2"/>
      <charset val="134"/>
      <scheme val="minor"/>
    </font>
    <font>
      <b/>
      <sz val="9"/>
      <color rgb="FFFFFFFF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40404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u/>
      <sz val="9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8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9" fontId="4" fillId="0" borderId="0" xfId="1" applyFont="1">
      <alignment vertical="center"/>
    </xf>
    <xf numFmtId="9" fontId="3" fillId="0" borderId="0" xfId="1" applyFont="1">
      <alignment vertical="center"/>
    </xf>
    <xf numFmtId="0" fontId="5" fillId="0" borderId="0" xfId="0" applyFont="1">
      <alignment vertical="center"/>
    </xf>
    <xf numFmtId="177" fontId="6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1" fillId="0" borderId="1" xfId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9" fontId="11" fillId="3" borderId="1" xfId="0" applyNumberFormat="1" applyFont="1" applyFill="1" applyBorder="1" applyAlignment="1">
      <alignment horizontal="center" vertical="center"/>
    </xf>
    <xf numFmtId="10" fontId="7" fillId="0" borderId="0" xfId="1" applyNumberFormat="1" applyFont="1" applyAlignment="1">
      <alignment horizontal="center" vertical="center"/>
    </xf>
    <xf numFmtId="9" fontId="0" fillId="0" borderId="0" xfId="1" applyFont="1">
      <alignment vertical="center"/>
    </xf>
    <xf numFmtId="11" fontId="0" fillId="0" borderId="0" xfId="1" applyNumberFormat="1" applyFo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6" fillId="0" borderId="1" xfId="0" applyFon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0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9" fontId="11" fillId="3" borderId="3" xfId="0" applyNumberFormat="1" applyFont="1" applyFill="1" applyBorder="1" applyAlignment="1">
      <alignment horizontal="center" vertical="center"/>
    </xf>
    <xf numFmtId="9" fontId="11" fillId="0" borderId="4" xfId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9" fontId="3" fillId="5" borderId="3" xfId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0" fontId="0" fillId="0" borderId="0" xfId="0" quotePrefix="1">
      <alignment vertical="center"/>
    </xf>
    <xf numFmtId="1" fontId="16" fillId="0" borderId="1" xfId="0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25" fillId="4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</cellXfs>
  <cellStyles count="2">
    <cellStyle name="百分比" xfId="1" builtinId="5"/>
    <cellStyle name="常规" xfId="0" builtinId="0"/>
  </cellStyles>
  <dxfs count="16">
    <dxf>
      <font>
        <color rgb="FF808080"/>
      </font>
      <fill>
        <patternFill>
          <bgColor rgb="FF808080"/>
        </patternFill>
      </fill>
    </dxf>
    <dxf>
      <font>
        <color rgb="FFFFCCCC"/>
      </font>
      <fill>
        <patternFill>
          <bgColor rgb="FFFFCCCC"/>
        </patternFill>
      </fill>
    </dxf>
    <dxf>
      <font>
        <color rgb="FFFF9999"/>
      </font>
      <fill>
        <patternFill>
          <bgColor rgb="FFFF9999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3" tint="0.749961851863155"/>
      </font>
      <fill>
        <patternFill>
          <bgColor theme="3" tint="0.749961851863155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FFCCCC"/>
      </font>
      <fill>
        <patternFill>
          <bgColor rgb="FFFFCCCC"/>
        </patternFill>
      </fill>
    </dxf>
    <dxf>
      <font>
        <color rgb="FFFF9999"/>
      </font>
      <fill>
        <patternFill>
          <bgColor rgb="FFFF9999"/>
        </patternFill>
      </fill>
    </dxf>
    <dxf>
      <font>
        <color theme="0"/>
      </font>
      <fill>
        <patternFill>
          <bgColor theme="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3" tint="0.749961851863155"/>
      </font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C00000"/>
      <color rgb="FF808080"/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strRef>
              <c:f>nv!$F$1</c:f>
              <c:strCache>
                <c:ptCount val="1"/>
                <c:pt idx="0">
                  <c:v>超额收益(右轴)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cat>
            <c:numRef>
              <c:f>nv!$A$16:$A$300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nv!$F$16:$F$300</c:f>
              <c:numCache>
                <c:formatCode>0%</c:formatCode>
                <c:ptCount val="285"/>
                <c:pt idx="0">
                  <c:v>0</c:v>
                </c:pt>
                <c:pt idx="1">
                  <c:v>-7.6870164663140894E-3</c:v>
                </c:pt>
                <c:pt idx="2">
                  <c:v>1.53124004658729E-2</c:v>
                </c:pt>
                <c:pt idx="3">
                  <c:v>0.15006797855410992</c:v>
                </c:pt>
                <c:pt idx="4">
                  <c:v>0.11893132650409233</c:v>
                </c:pt>
                <c:pt idx="5">
                  <c:v>1.0274474135132383E-3</c:v>
                </c:pt>
                <c:pt idx="6">
                  <c:v>0.10042479562838946</c:v>
                </c:pt>
                <c:pt idx="7">
                  <c:v>0.17830631031232724</c:v>
                </c:pt>
                <c:pt idx="8">
                  <c:v>0.21585871948477697</c:v>
                </c:pt>
                <c:pt idx="9">
                  <c:v>0.23211725654064308</c:v>
                </c:pt>
                <c:pt idx="10">
                  <c:v>0.29673172507096823</c:v>
                </c:pt>
                <c:pt idx="11">
                  <c:v>0.27607130994565598</c:v>
                </c:pt>
                <c:pt idx="12">
                  <c:v>0.2899850836985487</c:v>
                </c:pt>
                <c:pt idx="13">
                  <c:v>0.35129162010778581</c:v>
                </c:pt>
                <c:pt idx="14">
                  <c:v>0.32386226894745329</c:v>
                </c:pt>
                <c:pt idx="15">
                  <c:v>0.35853052224905801</c:v>
                </c:pt>
                <c:pt idx="16">
                  <c:v>0.36716603618114241</c:v>
                </c:pt>
                <c:pt idx="17">
                  <c:v>0.38003233313326912</c:v>
                </c:pt>
                <c:pt idx="18">
                  <c:v>0.39361484617749398</c:v>
                </c:pt>
                <c:pt idx="19">
                  <c:v>0.42591938236723759</c:v>
                </c:pt>
                <c:pt idx="20">
                  <c:v>0.45819942679484216</c:v>
                </c:pt>
                <c:pt idx="21">
                  <c:v>0.50555664931938127</c:v>
                </c:pt>
                <c:pt idx="22">
                  <c:v>0.54062842525124633</c:v>
                </c:pt>
                <c:pt idx="23">
                  <c:v>0.47250500795782391</c:v>
                </c:pt>
                <c:pt idx="24">
                  <c:v>0.55349969675519994</c:v>
                </c:pt>
                <c:pt idx="25">
                  <c:v>0.55898367230061385</c:v>
                </c:pt>
                <c:pt idx="26">
                  <c:v>0.53676243266409207</c:v>
                </c:pt>
                <c:pt idx="27">
                  <c:v>0.50147997172042791</c:v>
                </c:pt>
                <c:pt idx="28">
                  <c:v>0.48378751321888114</c:v>
                </c:pt>
                <c:pt idx="29">
                  <c:v>0.49049071718471171</c:v>
                </c:pt>
                <c:pt idx="30">
                  <c:v>0.51406379293581717</c:v>
                </c:pt>
                <c:pt idx="31">
                  <c:v>0.50340416771646379</c:v>
                </c:pt>
                <c:pt idx="32">
                  <c:v>0.42687540920553757</c:v>
                </c:pt>
                <c:pt idx="33">
                  <c:v>0.44101469827699624</c:v>
                </c:pt>
                <c:pt idx="34">
                  <c:v>0.40740516353002132</c:v>
                </c:pt>
                <c:pt idx="35">
                  <c:v>0.28848364190279208</c:v>
                </c:pt>
                <c:pt idx="36">
                  <c:v>0.2907681150126078</c:v>
                </c:pt>
                <c:pt idx="37">
                  <c:v>0.29406807791627565</c:v>
                </c:pt>
                <c:pt idx="38">
                  <c:v>0.26630487172504158</c:v>
                </c:pt>
                <c:pt idx="39">
                  <c:v>0.30552956508130391</c:v>
                </c:pt>
                <c:pt idx="40">
                  <c:v>0.23365155119592207</c:v>
                </c:pt>
                <c:pt idx="41">
                  <c:v>0.1398471945747608</c:v>
                </c:pt>
                <c:pt idx="42">
                  <c:v>0.19945120521066029</c:v>
                </c:pt>
                <c:pt idx="43">
                  <c:v>0.28232201514972477</c:v>
                </c:pt>
                <c:pt idx="44">
                  <c:v>0.35632344674773408</c:v>
                </c:pt>
                <c:pt idx="45">
                  <c:v>0.36683326260612636</c:v>
                </c:pt>
                <c:pt idx="46">
                  <c:v>0.26939241332346309</c:v>
                </c:pt>
                <c:pt idx="47">
                  <c:v>0.30612693672021996</c:v>
                </c:pt>
                <c:pt idx="48">
                  <c:v>0.45390529978361571</c:v>
                </c:pt>
                <c:pt idx="49">
                  <c:v>0.52603678167647905</c:v>
                </c:pt>
                <c:pt idx="50">
                  <c:v>0.63248213519954533</c:v>
                </c:pt>
                <c:pt idx="51">
                  <c:v>0.63902572125939572</c:v>
                </c:pt>
                <c:pt idx="52">
                  <c:v>0.69284086519464272</c:v>
                </c:pt>
                <c:pt idx="53">
                  <c:v>0.69347690003698914</c:v>
                </c:pt>
                <c:pt idx="54">
                  <c:v>0.65648394615668204</c:v>
                </c:pt>
                <c:pt idx="55">
                  <c:v>0.68459052800555154</c:v>
                </c:pt>
                <c:pt idx="56">
                  <c:v>0.82281525996200999</c:v>
                </c:pt>
                <c:pt idx="57">
                  <c:v>0.70049238434848005</c:v>
                </c:pt>
                <c:pt idx="58">
                  <c:v>0.72845205805354118</c:v>
                </c:pt>
                <c:pt idx="59">
                  <c:v>0.76532708082743661</c:v>
                </c:pt>
                <c:pt idx="60">
                  <c:v>0.68692777736447597</c:v>
                </c:pt>
                <c:pt idx="61">
                  <c:v>0.73443682252307352</c:v>
                </c:pt>
                <c:pt idx="62">
                  <c:v>0.70165407393526102</c:v>
                </c:pt>
                <c:pt idx="63">
                  <c:v>0.72720707462992706</c:v>
                </c:pt>
                <c:pt idx="64">
                  <c:v>0.72034551897800769</c:v>
                </c:pt>
                <c:pt idx="65">
                  <c:v>0.72015654859671696</c:v>
                </c:pt>
                <c:pt idx="66">
                  <c:v>0.74514868327271611</c:v>
                </c:pt>
                <c:pt idx="67">
                  <c:v>0.75570782960584482</c:v>
                </c:pt>
                <c:pt idx="68">
                  <c:v>0.86643639668225703</c:v>
                </c:pt>
                <c:pt idx="69">
                  <c:v>0.85353855568838033</c:v>
                </c:pt>
                <c:pt idx="70">
                  <c:v>0.73886006470366872</c:v>
                </c:pt>
                <c:pt idx="71">
                  <c:v>0.71451099578536614</c:v>
                </c:pt>
                <c:pt idx="72">
                  <c:v>0.81901583113424725</c:v>
                </c:pt>
                <c:pt idx="73">
                  <c:v>0.79196857888306682</c:v>
                </c:pt>
                <c:pt idx="74">
                  <c:v>0.83014713768314063</c:v>
                </c:pt>
                <c:pt idx="75">
                  <c:v>0.79704711131225614</c:v>
                </c:pt>
                <c:pt idx="76">
                  <c:v>1.0768994983766351</c:v>
                </c:pt>
                <c:pt idx="77">
                  <c:v>0.98399201221953803</c:v>
                </c:pt>
                <c:pt idx="78">
                  <c:v>0.98372028953903512</c:v>
                </c:pt>
                <c:pt idx="79">
                  <c:v>1.0417900437222496</c:v>
                </c:pt>
                <c:pt idx="80">
                  <c:v>0.92316812703675999</c:v>
                </c:pt>
                <c:pt idx="81">
                  <c:v>0.89859321316211171</c:v>
                </c:pt>
                <c:pt idx="82">
                  <c:v>0.91647368329559353</c:v>
                </c:pt>
                <c:pt idx="83">
                  <c:v>0.95749537868848789</c:v>
                </c:pt>
                <c:pt idx="84">
                  <c:v>0.91184922675730395</c:v>
                </c:pt>
                <c:pt idx="85">
                  <c:v>0.8527831954286762</c:v>
                </c:pt>
                <c:pt idx="86">
                  <c:v>0.93381801215784432</c:v>
                </c:pt>
                <c:pt idx="87">
                  <c:v>0.93676786176193816</c:v>
                </c:pt>
                <c:pt idx="88">
                  <c:v>0.97150327364132893</c:v>
                </c:pt>
                <c:pt idx="89">
                  <c:v>1.0636177028514142</c:v>
                </c:pt>
                <c:pt idx="90">
                  <c:v>1.0437144421449656</c:v>
                </c:pt>
                <c:pt idx="91">
                  <c:v>0.99833658282732007</c:v>
                </c:pt>
                <c:pt idx="92">
                  <c:v>0.9813342306959576</c:v>
                </c:pt>
                <c:pt idx="93">
                  <c:v>0.98434020753540574</c:v>
                </c:pt>
                <c:pt idx="94">
                  <c:v>0.96180902185861794</c:v>
                </c:pt>
                <c:pt idx="95">
                  <c:v>0.95702807914650023</c:v>
                </c:pt>
                <c:pt idx="96">
                  <c:v>0.97766178961378158</c:v>
                </c:pt>
                <c:pt idx="97">
                  <c:v>0.98575484181865525</c:v>
                </c:pt>
                <c:pt idx="98">
                  <c:v>1.0104127713769331</c:v>
                </c:pt>
                <c:pt idx="99">
                  <c:v>1.0080886140288103</c:v>
                </c:pt>
                <c:pt idx="100">
                  <c:v>1.0092265146377528</c:v>
                </c:pt>
                <c:pt idx="101">
                  <c:v>1.0481424756617543</c:v>
                </c:pt>
                <c:pt idx="102">
                  <c:v>1.0499755259241415</c:v>
                </c:pt>
                <c:pt idx="103">
                  <c:v>1.0684747450586807</c:v>
                </c:pt>
                <c:pt idx="104">
                  <c:v>1.2312034057992305</c:v>
                </c:pt>
                <c:pt idx="105">
                  <c:v>1.3483553375974409</c:v>
                </c:pt>
                <c:pt idx="106">
                  <c:v>1.4245269854046252</c:v>
                </c:pt>
                <c:pt idx="107">
                  <c:v>1.4570700266735934</c:v>
                </c:pt>
                <c:pt idx="108">
                  <c:v>1.5310555613477428</c:v>
                </c:pt>
                <c:pt idx="109">
                  <c:v>1.476963530889531</c:v>
                </c:pt>
                <c:pt idx="110">
                  <c:v>1.3281355296213895</c:v>
                </c:pt>
                <c:pt idx="111">
                  <c:v>1.3274059098906807</c:v>
                </c:pt>
                <c:pt idx="112">
                  <c:v>1.2855118278310744</c:v>
                </c:pt>
                <c:pt idx="113">
                  <c:v>1.4074741568596956</c:v>
                </c:pt>
                <c:pt idx="114">
                  <c:v>1.5839679106359106</c:v>
                </c:pt>
                <c:pt idx="115">
                  <c:v>1.628902436558251</c:v>
                </c:pt>
                <c:pt idx="116">
                  <c:v>1.562966770305275</c:v>
                </c:pt>
                <c:pt idx="117">
                  <c:v>1.5942728240551514</c:v>
                </c:pt>
                <c:pt idx="118">
                  <c:v>1.5859051880091259</c:v>
                </c:pt>
                <c:pt idx="119">
                  <c:v>1.6731039815303959</c:v>
                </c:pt>
                <c:pt idx="120">
                  <c:v>1.6133369948865779</c:v>
                </c:pt>
                <c:pt idx="121">
                  <c:v>1.9877631460997773</c:v>
                </c:pt>
                <c:pt idx="122">
                  <c:v>2.093358895503723</c:v>
                </c:pt>
                <c:pt idx="123">
                  <c:v>2.1047864585362803</c:v>
                </c:pt>
                <c:pt idx="124">
                  <c:v>2.0346866080568105</c:v>
                </c:pt>
                <c:pt idx="125">
                  <c:v>1.9296812090810667</c:v>
                </c:pt>
                <c:pt idx="126">
                  <c:v>1.9505465348539923</c:v>
                </c:pt>
                <c:pt idx="127">
                  <c:v>1.8914554135596449</c:v>
                </c:pt>
                <c:pt idx="128">
                  <c:v>1.8122473835753223</c:v>
                </c:pt>
                <c:pt idx="129">
                  <c:v>1.9154577470450809</c:v>
                </c:pt>
                <c:pt idx="130">
                  <c:v>1.9152613492586195</c:v>
                </c:pt>
                <c:pt idx="131">
                  <c:v>1.8858565610450144</c:v>
                </c:pt>
                <c:pt idx="132">
                  <c:v>1.9623354548184908</c:v>
                </c:pt>
                <c:pt idx="133">
                  <c:v>1.9497880072528839</c:v>
                </c:pt>
                <c:pt idx="134">
                  <c:v>2.2153976316505126</c:v>
                </c:pt>
                <c:pt idx="135">
                  <c:v>2.2044432066613782</c:v>
                </c:pt>
                <c:pt idx="136">
                  <c:v>2.3883436326064356</c:v>
                </c:pt>
                <c:pt idx="137">
                  <c:v>2.4644773045062203</c:v>
                </c:pt>
                <c:pt idx="138">
                  <c:v>2.5496876594920455</c:v>
                </c:pt>
                <c:pt idx="139">
                  <c:v>2.5732342297685311</c:v>
                </c:pt>
                <c:pt idx="140">
                  <c:v>2.5452123383693586</c:v>
                </c:pt>
                <c:pt idx="141">
                  <c:v>2.6265683257045094</c:v>
                </c:pt>
                <c:pt idx="142">
                  <c:v>2.6916663643715082</c:v>
                </c:pt>
                <c:pt idx="143">
                  <c:v>2.8996002187185428</c:v>
                </c:pt>
                <c:pt idx="144">
                  <c:v>3.1900448351246595</c:v>
                </c:pt>
                <c:pt idx="145">
                  <c:v>2.9483261200621675</c:v>
                </c:pt>
                <c:pt idx="146">
                  <c:v>3.0686676066368603</c:v>
                </c:pt>
                <c:pt idx="147">
                  <c:v>3.3087321119343525</c:v>
                </c:pt>
                <c:pt idx="148">
                  <c:v>3.4548643498409231</c:v>
                </c:pt>
                <c:pt idx="149">
                  <c:v>3.6834170871031837</c:v>
                </c:pt>
                <c:pt idx="150">
                  <c:v>3.7677233666876386</c:v>
                </c:pt>
                <c:pt idx="151">
                  <c:v>3.7309507498522398</c:v>
                </c:pt>
                <c:pt idx="152">
                  <c:v>3.91358430218847</c:v>
                </c:pt>
                <c:pt idx="153">
                  <c:v>3.579636059232179</c:v>
                </c:pt>
                <c:pt idx="154">
                  <c:v>3.9977918297135169</c:v>
                </c:pt>
                <c:pt idx="155">
                  <c:v>4.2772597831566816</c:v>
                </c:pt>
                <c:pt idx="156">
                  <c:v>4.5652989677876263</c:v>
                </c:pt>
                <c:pt idx="157">
                  <c:v>4.6168827130852979</c:v>
                </c:pt>
                <c:pt idx="158">
                  <c:v>5.0272429064923498</c:v>
                </c:pt>
                <c:pt idx="159">
                  <c:v>5.2593171474426992</c:v>
                </c:pt>
                <c:pt idx="160">
                  <c:v>5.6439189167856822</c:v>
                </c:pt>
                <c:pt idx="161">
                  <c:v>6.0776120363739645</c:v>
                </c:pt>
                <c:pt idx="162">
                  <c:v>6.9801780147898844</c:v>
                </c:pt>
                <c:pt idx="163">
                  <c:v>7.3491628893159149</c:v>
                </c:pt>
                <c:pt idx="164">
                  <c:v>7.3136843175596056</c:v>
                </c:pt>
                <c:pt idx="165">
                  <c:v>7.7073901113183592</c:v>
                </c:pt>
                <c:pt idx="166">
                  <c:v>8.0646887067542004</c:v>
                </c:pt>
                <c:pt idx="167">
                  <c:v>8.2318532921498484</c:v>
                </c:pt>
                <c:pt idx="168">
                  <c:v>8.2838227750418003</c:v>
                </c:pt>
                <c:pt idx="169">
                  <c:v>8.3621690945516018</c:v>
                </c:pt>
                <c:pt idx="170">
                  <c:v>8.2746798283159126</c:v>
                </c:pt>
                <c:pt idx="171">
                  <c:v>8.7955723474747529</c:v>
                </c:pt>
                <c:pt idx="172">
                  <c:v>9.0778048183726003</c:v>
                </c:pt>
                <c:pt idx="173">
                  <c:v>9.061596691433488</c:v>
                </c:pt>
                <c:pt idx="174">
                  <c:v>8.9977822970149148</c:v>
                </c:pt>
                <c:pt idx="175">
                  <c:v>9.0215744269139666</c:v>
                </c:pt>
                <c:pt idx="176">
                  <c:v>8.8816303606382796</c:v>
                </c:pt>
                <c:pt idx="177">
                  <c:v>8.7728813858995505</c:v>
                </c:pt>
                <c:pt idx="178">
                  <c:v>8.805911747811793</c:v>
                </c:pt>
                <c:pt idx="179">
                  <c:v>9.2123307865031414</c:v>
                </c:pt>
                <c:pt idx="180">
                  <c:v>9.8883532462791397</c:v>
                </c:pt>
                <c:pt idx="181">
                  <c:v>10.992295167618082</c:v>
                </c:pt>
                <c:pt idx="182">
                  <c:v>10.771842677773973</c:v>
                </c:pt>
                <c:pt idx="183">
                  <c:v>10.822194315496217</c:v>
                </c:pt>
                <c:pt idx="184">
                  <c:v>11.075237513089945</c:v>
                </c:pt>
                <c:pt idx="185">
                  <c:v>11.350153711884106</c:v>
                </c:pt>
                <c:pt idx="186">
                  <c:v>10.647737819518548</c:v>
                </c:pt>
                <c:pt idx="187">
                  <c:v>10.995425653377824</c:v>
                </c:pt>
                <c:pt idx="188">
                  <c:v>10.57536379498737</c:v>
                </c:pt>
                <c:pt idx="189">
                  <c:v>15.335617635404731</c:v>
                </c:pt>
                <c:pt idx="190">
                  <c:v>14.337540735995848</c:v>
                </c:pt>
                <c:pt idx="191">
                  <c:v>13.978624296970839</c:v>
                </c:pt>
                <c:pt idx="192">
                  <c:v>14.066844866522512</c:v>
                </c:pt>
                <c:pt idx="193">
                  <c:v>14.697876273525072</c:v>
                </c:pt>
                <c:pt idx="194">
                  <c:v>14.315814403093816</c:v>
                </c:pt>
                <c:pt idx="195">
                  <c:v>14.224222161446544</c:v>
                </c:pt>
                <c:pt idx="196">
                  <c:v>14.263682306083451</c:v>
                </c:pt>
                <c:pt idx="197">
                  <c:v>14.620921879974317</c:v>
                </c:pt>
                <c:pt idx="198">
                  <c:v>14.723788844757186</c:v>
                </c:pt>
                <c:pt idx="199">
                  <c:v>14.497804727715378</c:v>
                </c:pt>
                <c:pt idx="200">
                  <c:v>14.597343513048338</c:v>
                </c:pt>
                <c:pt idx="201">
                  <c:v>14.765398727131073</c:v>
                </c:pt>
                <c:pt idx="202">
                  <c:v>14.967044881677316</c:v>
                </c:pt>
                <c:pt idx="203">
                  <c:v>15.628429923649882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33-4175-AD12-07C84F684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36753824"/>
        <c:axId val="-1236768512"/>
      </c:areaChart>
      <c:lineChart>
        <c:grouping val="standard"/>
        <c:varyColors val="0"/>
        <c:ser>
          <c:idx val="0"/>
          <c:order val="0"/>
          <c:tx>
            <c:strRef>
              <c:f>nv!$D$1</c:f>
              <c:strCache>
                <c:ptCount val="1"/>
                <c:pt idx="0">
                  <c:v>资产比较策略净值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nv!$A$16:$A$300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nv!$D$16:$D$300</c:f>
              <c:numCache>
                <c:formatCode>General</c:formatCode>
                <c:ptCount val="285"/>
                <c:pt idx="0">
                  <c:v>1</c:v>
                </c:pt>
                <c:pt idx="1">
                  <c:v>1.0496448116085599</c:v>
                </c:pt>
                <c:pt idx="2">
                  <c:v>1.2669790102027001</c:v>
                </c:pt>
                <c:pt idx="3">
                  <c:v>1.4974465456873101</c:v>
                </c:pt>
                <c:pt idx="4">
                  <c:v>1.5380247495149599</c:v>
                </c:pt>
                <c:pt idx="5">
                  <c:v>1.5539718979250901</c:v>
                </c:pt>
                <c:pt idx="6">
                  <c:v>1.96082039810816</c:v>
                </c:pt>
                <c:pt idx="7">
                  <c:v>1.6836461040849</c:v>
                </c:pt>
                <c:pt idx="8">
                  <c:v>1.8227285579153101</c:v>
                </c:pt>
                <c:pt idx="9">
                  <c:v>2.0177385319948402</c:v>
                </c:pt>
                <c:pt idx="10">
                  <c:v>2.2947199422620299</c:v>
                </c:pt>
                <c:pt idx="11">
                  <c:v>2.3261954647899299</c:v>
                </c:pt>
                <c:pt idx="12">
                  <c:v>2.1521625147818502</c:v>
                </c:pt>
                <c:pt idx="13">
                  <c:v>2.3211604116764901</c:v>
                </c:pt>
                <c:pt idx="14">
                  <c:v>2.3333501424718999</c:v>
                </c:pt>
                <c:pt idx="15">
                  <c:v>2.2149570823593101</c:v>
                </c:pt>
                <c:pt idx="16">
                  <c:v>2.04512668725864</c:v>
                </c:pt>
                <c:pt idx="17">
                  <c:v>1.9079085146722199</c:v>
                </c:pt>
                <c:pt idx="18">
                  <c:v>2.1530862321320399</c:v>
                </c:pt>
                <c:pt idx="19">
                  <c:v>2.25770116163166</c:v>
                </c:pt>
                <c:pt idx="20">
                  <c:v>2.3328539831173098</c:v>
                </c:pt>
                <c:pt idx="21">
                  <c:v>2.6887743830121802</c:v>
                </c:pt>
                <c:pt idx="22">
                  <c:v>2.6372528422396599</c:v>
                </c:pt>
                <c:pt idx="23">
                  <c:v>2.4971805071916999</c:v>
                </c:pt>
                <c:pt idx="24">
                  <c:v>2.5837712762340002</c:v>
                </c:pt>
                <c:pt idx="25">
                  <c:v>2.7301256785839501</c:v>
                </c:pt>
                <c:pt idx="26">
                  <c:v>2.6964032568824901</c:v>
                </c:pt>
                <c:pt idx="27">
                  <c:v>2.5977124347932299</c:v>
                </c:pt>
                <c:pt idx="28">
                  <c:v>2.4115980834418398</c:v>
                </c:pt>
                <c:pt idx="29">
                  <c:v>2.4804623793910001</c:v>
                </c:pt>
                <c:pt idx="30">
                  <c:v>2.49432758959514</c:v>
                </c:pt>
                <c:pt idx="31">
                  <c:v>2.3622638540524101</c:v>
                </c:pt>
                <c:pt idx="32">
                  <c:v>2.0322692858828102</c:v>
                </c:pt>
                <c:pt idx="33">
                  <c:v>2.1400729500037801</c:v>
                </c:pt>
                <c:pt idx="34">
                  <c:v>1.9820800531162299</c:v>
                </c:pt>
                <c:pt idx="35">
                  <c:v>1.6706539180279301</c:v>
                </c:pt>
                <c:pt idx="36">
                  <c:v>1.72776818204136</c:v>
                </c:pt>
                <c:pt idx="37">
                  <c:v>1.8550117881831101</c:v>
                </c:pt>
                <c:pt idx="38">
                  <c:v>1.6874393515616899</c:v>
                </c:pt>
                <c:pt idx="39">
                  <c:v>1.8394285723007799</c:v>
                </c:pt>
                <c:pt idx="40">
                  <c:v>1.7373770089454601</c:v>
                </c:pt>
                <c:pt idx="41">
                  <c:v>1.51703314517099</c:v>
                </c:pt>
                <c:pt idx="42">
                  <c:v>1.51232717206692</c:v>
                </c:pt>
                <c:pt idx="43">
                  <c:v>1.5802507888283699</c:v>
                </c:pt>
                <c:pt idx="44">
                  <c:v>1.7092180805522901</c:v>
                </c:pt>
                <c:pt idx="45">
                  <c:v>1.7068369861682899</c:v>
                </c:pt>
                <c:pt idx="46">
                  <c:v>1.4834292885936999</c:v>
                </c:pt>
                <c:pt idx="47">
                  <c:v>1.7495008162888701</c:v>
                </c:pt>
                <c:pt idx="48">
                  <c:v>2.03652234676394</c:v>
                </c:pt>
                <c:pt idx="49">
                  <c:v>2.1633826820875601</c:v>
                </c:pt>
                <c:pt idx="50">
                  <c:v>2.1983456699731398</c:v>
                </c:pt>
                <c:pt idx="51">
                  <c:v>2.1612337701017399</c:v>
                </c:pt>
                <c:pt idx="52">
                  <c:v>2.4439523755456101</c:v>
                </c:pt>
                <c:pt idx="53">
                  <c:v>2.0783330408395599</c:v>
                </c:pt>
                <c:pt idx="54">
                  <c:v>2.1111360751440702</c:v>
                </c:pt>
                <c:pt idx="55">
                  <c:v>2.2863358760280001</c:v>
                </c:pt>
                <c:pt idx="56">
                  <c:v>2.5975079961846301</c:v>
                </c:pt>
                <c:pt idx="57">
                  <c:v>2.3503580053276498</c:v>
                </c:pt>
                <c:pt idx="58">
                  <c:v>2.5122798998971998</c:v>
                </c:pt>
                <c:pt idx="59">
                  <c:v>2.4667423414303902</c:v>
                </c:pt>
                <c:pt idx="60">
                  <c:v>2.3276430379994499</c:v>
                </c:pt>
                <c:pt idx="61">
                  <c:v>2.4133940128370899</c:v>
                </c:pt>
                <c:pt idx="62">
                  <c:v>2.3004025303672502</c:v>
                </c:pt>
                <c:pt idx="63">
                  <c:v>2.3172877054083298</c:v>
                </c:pt>
                <c:pt idx="64">
                  <c:v>2.3426719585005999</c:v>
                </c:pt>
                <c:pt idx="65">
                  <c:v>2.41456219214201</c:v>
                </c:pt>
                <c:pt idx="66">
                  <c:v>2.6566080534399399</c:v>
                </c:pt>
                <c:pt idx="67">
                  <c:v>2.7478719230625499</c:v>
                </c:pt>
                <c:pt idx="68">
                  <c:v>3.18712600400581</c:v>
                </c:pt>
                <c:pt idx="69">
                  <c:v>3.2312023370355698</c:v>
                </c:pt>
                <c:pt idx="70">
                  <c:v>3.3226036662532601</c:v>
                </c:pt>
                <c:pt idx="71">
                  <c:v>3.6494634948379501</c:v>
                </c:pt>
                <c:pt idx="72">
                  <c:v>3.9436647012774699</c:v>
                </c:pt>
                <c:pt idx="73">
                  <c:v>4.1316323022563299</c:v>
                </c:pt>
                <c:pt idx="74">
                  <c:v>4.9956403006129202</c:v>
                </c:pt>
                <c:pt idx="75">
                  <c:v>5.8526497763450003</c:v>
                </c:pt>
                <c:pt idx="76">
                  <c:v>7.6446047235155703</c:v>
                </c:pt>
                <c:pt idx="77">
                  <c:v>6.49835050058722</c:v>
                </c:pt>
                <c:pt idx="78">
                  <c:v>5.4725494088000701</c:v>
                </c:pt>
                <c:pt idx="79">
                  <c:v>4.7929062236719497</c:v>
                </c:pt>
                <c:pt idx="80">
                  <c:v>4.2307426505122496</c:v>
                </c:pt>
                <c:pt idx="81">
                  <c:v>4.9002071430036596</c:v>
                </c:pt>
                <c:pt idx="82">
                  <c:v>5.2505374982475397</c:v>
                </c:pt>
                <c:pt idx="83">
                  <c:v>5.6430242464681504</c:v>
                </c:pt>
                <c:pt idx="84">
                  <c:v>3.9563781347920002</c:v>
                </c:pt>
                <c:pt idx="85">
                  <c:v>3.7278710861427502</c:v>
                </c:pt>
                <c:pt idx="86">
                  <c:v>4.5034138789006599</c:v>
                </c:pt>
                <c:pt idx="87">
                  <c:v>4.4265149725654602</c:v>
                </c:pt>
                <c:pt idx="88">
                  <c:v>4.4853901492861903</c:v>
                </c:pt>
                <c:pt idx="89">
                  <c:v>4.8506031342712097</c:v>
                </c:pt>
                <c:pt idx="90">
                  <c:v>4.8293766010295398</c:v>
                </c:pt>
                <c:pt idx="91">
                  <c:v>4.9503739137989697</c:v>
                </c:pt>
                <c:pt idx="92">
                  <c:v>4.8223786608880701</c:v>
                </c:pt>
                <c:pt idx="93">
                  <c:v>4.9818134254984603</c:v>
                </c:pt>
                <c:pt idx="94">
                  <c:v>5.1215772932208603</c:v>
                </c:pt>
                <c:pt idx="95">
                  <c:v>4.8346010994587401</c:v>
                </c:pt>
                <c:pt idx="96">
                  <c:v>4.8733378971505603</c:v>
                </c:pt>
                <c:pt idx="97">
                  <c:v>5.0471775889969299</c:v>
                </c:pt>
                <c:pt idx="98">
                  <c:v>5.0804641550615397</c:v>
                </c:pt>
                <c:pt idx="99">
                  <c:v>4.9253838702230697</c:v>
                </c:pt>
                <c:pt idx="100">
                  <c:v>4.7883605081826497</c:v>
                </c:pt>
                <c:pt idx="101">
                  <c:v>5.1110665184614001</c:v>
                </c:pt>
                <c:pt idx="102">
                  <c:v>5.1981243671039401</c:v>
                </c:pt>
                <c:pt idx="103">
                  <c:v>5.4035846378429397</c:v>
                </c:pt>
                <c:pt idx="104">
                  <c:v>5.8978046430297697</c:v>
                </c:pt>
                <c:pt idx="105">
                  <c:v>6.27268608388228</c:v>
                </c:pt>
                <c:pt idx="106">
                  <c:v>6.2910112443435402</c:v>
                </c:pt>
                <c:pt idx="107">
                  <c:v>6.3585086522942698</c:v>
                </c:pt>
                <c:pt idx="108">
                  <c:v>6.6641259174051104</c:v>
                </c:pt>
                <c:pt idx="109">
                  <c:v>6.1984567165412496</c:v>
                </c:pt>
                <c:pt idx="110">
                  <c:v>5.81986449301034</c:v>
                </c:pt>
                <c:pt idx="111">
                  <c:v>5.60148723636852</c:v>
                </c:pt>
                <c:pt idx="112">
                  <c:v>5.4973692940236196</c:v>
                </c:pt>
                <c:pt idx="113">
                  <c:v>5.3330179131233901</c:v>
                </c:pt>
                <c:pt idx="114">
                  <c:v>5.74011370242137</c:v>
                </c:pt>
                <c:pt idx="115">
                  <c:v>5.47509895416324</c:v>
                </c:pt>
                <c:pt idx="116">
                  <c:v>5.4115359458306198</c:v>
                </c:pt>
                <c:pt idx="117">
                  <c:v>4.9829497022287699</c:v>
                </c:pt>
                <c:pt idx="118">
                  <c:v>5.0727651330355696</c:v>
                </c:pt>
                <c:pt idx="119">
                  <c:v>4.9985129657640401</c:v>
                </c:pt>
                <c:pt idx="120">
                  <c:v>5.0231875124845704</c:v>
                </c:pt>
                <c:pt idx="121">
                  <c:v>6.6391600173133201</c:v>
                </c:pt>
                <c:pt idx="122">
                  <c:v>7.4032820677670204</c:v>
                </c:pt>
                <c:pt idx="123">
                  <c:v>7.32400076553093</c:v>
                </c:pt>
                <c:pt idx="124">
                  <c:v>6.6912605945740697</c:v>
                </c:pt>
                <c:pt idx="125">
                  <c:v>6.6854240386186099</c:v>
                </c:pt>
                <c:pt idx="126">
                  <c:v>6.7255212589734601</c:v>
                </c:pt>
                <c:pt idx="127">
                  <c:v>6.5409551345695798</c:v>
                </c:pt>
                <c:pt idx="128">
                  <c:v>6.4121080881222099</c:v>
                </c:pt>
                <c:pt idx="129">
                  <c:v>6.6997692122667303</c:v>
                </c:pt>
                <c:pt idx="130">
                  <c:v>6.5983571166677901</c:v>
                </c:pt>
                <c:pt idx="131">
                  <c:v>7.0297504934021404</c:v>
                </c:pt>
                <c:pt idx="132">
                  <c:v>7.19828479363174</c:v>
                </c:pt>
                <c:pt idx="133">
                  <c:v>7.1658149970776597</c:v>
                </c:pt>
                <c:pt idx="134">
                  <c:v>7.3431034871846403</c:v>
                </c:pt>
                <c:pt idx="135">
                  <c:v>7.70229351144887</c:v>
                </c:pt>
                <c:pt idx="136">
                  <c:v>8.1889951874236999</c:v>
                </c:pt>
                <c:pt idx="137">
                  <c:v>9.0615203708775507</c:v>
                </c:pt>
                <c:pt idx="138">
                  <c:v>10.4681841022181</c:v>
                </c:pt>
                <c:pt idx="139">
                  <c:v>10.743687055672501</c:v>
                </c:pt>
                <c:pt idx="140">
                  <c:v>10.0181098095581</c:v>
                </c:pt>
                <c:pt idx="141">
                  <c:v>10.3535083065221</c:v>
                </c:pt>
                <c:pt idx="142">
                  <c:v>10.9516991346933</c:v>
                </c:pt>
                <c:pt idx="143">
                  <c:v>11.9091428980659</c:v>
                </c:pt>
                <c:pt idx="144">
                  <c:v>12.783726875508499</c:v>
                </c:pt>
                <c:pt idx="145">
                  <c:v>12.045354116093</c:v>
                </c:pt>
                <c:pt idx="146">
                  <c:v>12.034564802350699</c:v>
                </c:pt>
                <c:pt idx="147">
                  <c:v>13.0111679942679</c:v>
                </c:pt>
                <c:pt idx="148">
                  <c:v>14.1205803128599</c:v>
                </c:pt>
                <c:pt idx="149">
                  <c:v>15.0455010887905</c:v>
                </c:pt>
                <c:pt idx="150">
                  <c:v>14.850459688782999</c:v>
                </c:pt>
                <c:pt idx="151">
                  <c:v>15.214607927343399</c:v>
                </c:pt>
                <c:pt idx="152">
                  <c:v>15.645114791984399</c:v>
                </c:pt>
                <c:pt idx="153">
                  <c:v>14.635631728639501</c:v>
                </c:pt>
                <c:pt idx="154">
                  <c:v>16.4322588735923</c:v>
                </c:pt>
                <c:pt idx="155">
                  <c:v>17.521864823593798</c:v>
                </c:pt>
                <c:pt idx="156">
                  <c:v>16.820136303639199</c:v>
                </c:pt>
                <c:pt idx="157">
                  <c:v>17.4494217997748</c:v>
                </c:pt>
                <c:pt idx="158">
                  <c:v>17.411702587138901</c:v>
                </c:pt>
                <c:pt idx="159">
                  <c:v>16.425491110562799</c:v>
                </c:pt>
                <c:pt idx="160">
                  <c:v>18.4034637373477</c:v>
                </c:pt>
                <c:pt idx="161">
                  <c:v>21.386235865107501</c:v>
                </c:pt>
                <c:pt idx="162">
                  <c:v>23.542701144833799</c:v>
                </c:pt>
                <c:pt idx="163">
                  <c:v>23.956819934844301</c:v>
                </c:pt>
                <c:pt idx="164">
                  <c:v>22.041735042516301</c:v>
                </c:pt>
                <c:pt idx="165">
                  <c:v>22.524535939065199</c:v>
                </c:pt>
                <c:pt idx="166">
                  <c:v>25.2188757318516</c:v>
                </c:pt>
                <c:pt idx="167">
                  <c:v>25.150494414885699</c:v>
                </c:pt>
                <c:pt idx="168">
                  <c:v>27.1487032038481</c:v>
                </c:pt>
                <c:pt idx="169">
                  <c:v>27.371373728640599</c:v>
                </c:pt>
                <c:pt idx="170">
                  <c:v>26.889483114994999</c:v>
                </c:pt>
                <c:pt idx="171">
                  <c:v>28.0112144312046</c:v>
                </c:pt>
                <c:pt idx="172">
                  <c:v>27.890527957135799</c:v>
                </c:pt>
                <c:pt idx="173">
                  <c:v>28.285986986946799</c:v>
                </c:pt>
                <c:pt idx="174">
                  <c:v>28.805893982960999</c:v>
                </c:pt>
                <c:pt idx="175">
                  <c:v>27.257365344726399</c:v>
                </c:pt>
                <c:pt idx="176">
                  <c:v>26.5795694531107</c:v>
                </c:pt>
                <c:pt idx="177">
                  <c:v>25.712362102010701</c:v>
                </c:pt>
                <c:pt idx="178">
                  <c:v>25.8893833985966</c:v>
                </c:pt>
                <c:pt idx="179">
                  <c:v>26.430760232510298</c:v>
                </c:pt>
                <c:pt idx="180">
                  <c:v>24.851542166565999</c:v>
                </c:pt>
                <c:pt idx="181">
                  <c:v>29.773813851167901</c:v>
                </c:pt>
                <c:pt idx="182">
                  <c:v>29.628769133384001</c:v>
                </c:pt>
                <c:pt idx="183">
                  <c:v>30.0577688640922</c:v>
                </c:pt>
                <c:pt idx="184">
                  <c:v>30.338672639035501</c:v>
                </c:pt>
                <c:pt idx="185">
                  <c:v>29.473813167391398</c:v>
                </c:pt>
                <c:pt idx="186">
                  <c:v>27.877381543286401</c:v>
                </c:pt>
                <c:pt idx="187">
                  <c:v>27.603066195422301</c:v>
                </c:pt>
                <c:pt idx="188">
                  <c:v>32.767126281356703</c:v>
                </c:pt>
                <c:pt idx="189">
                  <c:v>46.9888674274642</c:v>
                </c:pt>
                <c:pt idx="190">
                  <c:v>44.749013401638997</c:v>
                </c:pt>
                <c:pt idx="191">
                  <c:v>42.825168377579402</c:v>
                </c:pt>
                <c:pt idx="192">
                  <c:v>42.084412133172599</c:v>
                </c:pt>
                <c:pt idx="193">
                  <c:v>45.842124789099699</c:v>
                </c:pt>
                <c:pt idx="194">
                  <c:v>44.541900599143801</c:v>
                </c:pt>
                <c:pt idx="195">
                  <c:v>42.872307824748802</c:v>
                </c:pt>
                <c:pt idx="196">
                  <c:v>44.0060054913112</c:v>
                </c:pt>
                <c:pt idx="197">
                  <c:v>47.122357707743397</c:v>
                </c:pt>
                <c:pt idx="198">
                  <c:v>49.6689734770219</c:v>
                </c:pt>
                <c:pt idx="199">
                  <c:v>54.3852835643481</c:v>
                </c:pt>
                <c:pt idx="200">
                  <c:v>56.259843704020803</c:v>
                </c:pt>
                <c:pt idx="201">
                  <c:v>56.845564093636497</c:v>
                </c:pt>
                <c:pt idx="202">
                  <c:v>56.310148965047503</c:v>
                </c:pt>
                <c:pt idx="203">
                  <c:v>60.498804713057702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3-4175-AD12-07C84F68497E}"/>
            </c:ext>
          </c:extLst>
        </c:ser>
        <c:ser>
          <c:idx val="1"/>
          <c:order val="1"/>
          <c:tx>
            <c:strRef>
              <c:f>nv!$E$1</c:f>
              <c:strCache>
                <c:ptCount val="1"/>
                <c:pt idx="0">
                  <c:v>万得全A净值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nv!$A$16:$A$300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nv!$E$16:$E$300</c:f>
              <c:numCache>
                <c:formatCode>General</c:formatCode>
                <c:ptCount val="285"/>
                <c:pt idx="0">
                  <c:v>1</c:v>
                </c:pt>
                <c:pt idx="1">
                  <c:v>1.057331828074874</c:v>
                </c:pt>
                <c:pt idx="2">
                  <c:v>1.2517512651818423</c:v>
                </c:pt>
                <c:pt idx="3">
                  <c:v>1.3133123086382736</c:v>
                </c:pt>
                <c:pt idx="4">
                  <c:v>1.3844570821582769</c:v>
                </c:pt>
                <c:pt idx="5">
                  <c:v>1.5446947731431944</c:v>
                </c:pt>
                <c:pt idx="6">
                  <c:v>1.7957334373078508</c:v>
                </c:pt>
                <c:pt idx="7">
                  <c:v>1.4148039031460571</c:v>
                </c:pt>
                <c:pt idx="8">
                  <c:v>1.4865883250305678</c:v>
                </c:pt>
                <c:pt idx="9">
                  <c:v>1.625756598076348</c:v>
                </c:pt>
                <c:pt idx="10">
                  <c:v>1.7636717656926346</c:v>
                </c:pt>
                <c:pt idx="11">
                  <c:v>1.8159631893639605</c:v>
                </c:pt>
                <c:pt idx="12">
                  <c:v>1.660302427970529</c:v>
                </c:pt>
                <c:pt idx="13">
                  <c:v>1.711771296584222</c:v>
                </c:pt>
                <c:pt idx="14">
                  <c:v>1.7555073693298153</c:v>
                </c:pt>
                <c:pt idx="15">
                  <c:v>1.6204619403972504</c:v>
                </c:pt>
                <c:pt idx="16">
                  <c:v>1.4859135902082099</c:v>
                </c:pt>
                <c:pt idx="17">
                  <c:v>1.3722321077905404</c:v>
                </c:pt>
                <c:pt idx="18">
                  <c:v>1.5350664437441155</c:v>
                </c:pt>
                <c:pt idx="19">
                  <c:v>1.5740693656800824</c:v>
                </c:pt>
                <c:pt idx="20">
                  <c:v>1.5908320444619546</c:v>
                </c:pt>
                <c:pt idx="21">
                  <c:v>1.7818784869483937</c:v>
                </c:pt>
                <c:pt idx="22">
                  <c:v>1.7062259684016798</c:v>
                </c:pt>
                <c:pt idx="23">
                  <c:v>1.6910490369076181</c:v>
                </c:pt>
                <c:pt idx="24">
                  <c:v>1.6566712266707488</c:v>
                </c:pt>
                <c:pt idx="25">
                  <c:v>1.7446630594328769</c:v>
                </c:pt>
                <c:pt idx="26">
                  <c:v>1.7479808917173847</c:v>
                </c:pt>
                <c:pt idx="27">
                  <c:v>1.7241350107131064</c:v>
                </c:pt>
                <c:pt idx="28">
                  <c:v>1.6209246121741854</c:v>
                </c:pt>
                <c:pt idx="29">
                  <c:v>1.6598881236170038</c:v>
                </c:pt>
                <c:pt idx="30">
                  <c:v>1.642914308368701</c:v>
                </c:pt>
                <c:pt idx="31">
                  <c:v>1.5674959672193649</c:v>
                </c:pt>
                <c:pt idx="32">
                  <c:v>1.4283171311730702</c:v>
                </c:pt>
                <c:pt idx="33">
                  <c:v>1.4899300012811501</c:v>
                </c:pt>
                <c:pt idx="34">
                  <c:v>1.4146849304034166</c:v>
                </c:pt>
                <c:pt idx="35">
                  <c:v>1.3119450486769009</c:v>
                </c:pt>
                <c:pt idx="36">
                  <c:v>1.3544701444511942</c:v>
                </c:pt>
                <c:pt idx="37">
                  <c:v>1.4507589361440056</c:v>
                </c:pt>
                <c:pt idx="38">
                  <c:v>1.3508295538176229</c:v>
                </c:pt>
                <c:pt idx="39">
                  <c:v>1.4306571137607977</c:v>
                </c:pt>
                <c:pt idx="40">
                  <c:v>1.4300513164154836</c:v>
                </c:pt>
                <c:pt idx="41">
                  <c:v>1.3574224104371835</c:v>
                </c:pt>
                <c:pt idx="42">
                  <c:v>1.2822302781058896</c:v>
                </c:pt>
                <c:pt idx="43">
                  <c:v>1.2512294158932513</c:v>
                </c:pt>
                <c:pt idx="44">
                  <c:v>1.2811375326140364</c:v>
                </c:pt>
                <c:pt idx="45">
                  <c:v>1.2694255741484957</c:v>
                </c:pt>
                <c:pt idx="46">
                  <c:v>1.1937673108120279</c:v>
                </c:pt>
                <c:pt idx="47">
                  <c:v>1.3733383195637516</c:v>
                </c:pt>
                <c:pt idx="48">
                  <c:v>1.4432641475331194</c:v>
                </c:pt>
                <c:pt idx="49">
                  <c:v>1.4615653180741834</c:v>
                </c:pt>
                <c:pt idx="50">
                  <c:v>1.3832377659760442</c:v>
                </c:pt>
                <c:pt idx="51">
                  <c:v>1.3543417823747625</c:v>
                </c:pt>
                <c:pt idx="52">
                  <c:v>1.4870400631753911</c:v>
                </c:pt>
                <c:pt idx="53">
                  <c:v>1.2640176885165113</c:v>
                </c:pt>
                <c:pt idx="54">
                  <c:v>1.3115797912380467</c:v>
                </c:pt>
                <c:pt idx="55">
                  <c:v>1.3981713160547355</c:v>
                </c:pt>
                <c:pt idx="56">
                  <c:v>1.4737401954043907</c:v>
                </c:pt>
                <c:pt idx="57">
                  <c:v>1.432413104495502</c:v>
                </c:pt>
                <c:pt idx="58">
                  <c:v>1.5075436502097592</c:v>
                </c:pt>
                <c:pt idx="59">
                  <c:v>1.4480557963631406</c:v>
                </c:pt>
                <c:pt idx="60">
                  <c:v>1.4307091875001776</c:v>
                </c:pt>
                <c:pt idx="61">
                  <c:v>1.4431237399297852</c:v>
                </c:pt>
                <c:pt idx="62">
                  <c:v>1.4028354676153849</c:v>
                </c:pt>
                <c:pt idx="63">
                  <c:v>1.392066643020371</c:v>
                </c:pt>
                <c:pt idx="64">
                  <c:v>1.4128459181909818</c:v>
                </c:pt>
                <c:pt idx="65">
                  <c:v>1.4563575117326522</c:v>
                </c:pt>
                <c:pt idx="66">
                  <c:v>1.5811895075183238</c:v>
                </c:pt>
                <c:pt idx="67">
                  <c:v>1.6259418521029205</c:v>
                </c:pt>
                <c:pt idx="68">
                  <c:v>1.7833081365619299</c:v>
                </c:pt>
                <c:pt idx="69">
                  <c:v>1.8202937724873003</c:v>
                </c:pt>
                <c:pt idx="70">
                  <c:v>1.984406231503167</c:v>
                </c:pt>
                <c:pt idx="71">
                  <c:v>2.20740883914354</c:v>
                </c:pt>
                <c:pt idx="72">
                  <c:v>2.2508104168728309</c:v>
                </c:pt>
                <c:pt idx="73">
                  <c:v>2.3915588777324661</c:v>
                </c:pt>
                <c:pt idx="74">
                  <c:v>2.8407292250797509</c:v>
                </c:pt>
                <c:pt idx="75">
                  <c:v>3.379437927299624</c:v>
                </c:pt>
                <c:pt idx="76">
                  <c:v>3.8878722670089325</c:v>
                </c:pt>
                <c:pt idx="77">
                  <c:v>3.4788324882315202</c:v>
                </c:pt>
                <c:pt idx="78">
                  <c:v>2.9301557109819747</c:v>
                </c:pt>
                <c:pt idx="79">
                  <c:v>2.4804808722592258</c:v>
                </c:pt>
                <c:pt idx="80">
                  <c:v>2.3336519529628972</c:v>
                </c:pt>
                <c:pt idx="81">
                  <c:v>2.732744720939734</c:v>
                </c:pt>
                <c:pt idx="82">
                  <c:v>2.9023804555581214</c:v>
                </c:pt>
                <c:pt idx="83">
                  <c:v>3.0572135965954281</c:v>
                </c:pt>
                <c:pt idx="84">
                  <c:v>2.2147317164653462</c:v>
                </c:pt>
                <c:pt idx="85">
                  <c:v>2.15523978567116</c:v>
                </c:pt>
                <c:pt idx="86">
                  <c:v>2.5093505410171195</c:v>
                </c:pt>
                <c:pt idx="87">
                  <c:v>2.4626738771808427</c:v>
                </c:pt>
                <c:pt idx="88">
                  <c:v>2.4512614508176198</c:v>
                </c:pt>
                <c:pt idx="89">
                  <c:v>2.5363198580332735</c:v>
                </c:pt>
                <c:pt idx="90">
                  <c:v>2.5496831655792955</c:v>
                </c:pt>
                <c:pt idx="91">
                  <c:v>2.6701762390306949</c:v>
                </c:pt>
                <c:pt idx="92">
                  <c:v>2.6238555668433468</c:v>
                </c:pt>
                <c:pt idx="93">
                  <c:v>2.7066232237017425</c:v>
                </c:pt>
                <c:pt idx="94">
                  <c:v>2.813289391251192</c:v>
                </c:pt>
                <c:pt idx="95">
                  <c:v>2.6625089831833328</c:v>
                </c:pt>
                <c:pt idx="96">
                  <c:v>2.6557702212584156</c:v>
                </c:pt>
                <c:pt idx="97">
                  <c:v>2.7396377273809405</c:v>
                </c:pt>
                <c:pt idx="98">
                  <c:v>2.723686670024589</c:v>
                </c:pt>
                <c:pt idx="99">
                  <c:v>2.6436953526874682</c:v>
                </c:pt>
                <c:pt idx="100">
                  <c:v>2.5686501140124567</c:v>
                </c:pt>
                <c:pt idx="101">
                  <c:v>2.6920100846386674</c:v>
                </c:pt>
                <c:pt idx="102">
                  <c:v>2.7354543467735475</c:v>
                </c:pt>
                <c:pt idx="103">
                  <c:v>2.8188904377171515</c:v>
                </c:pt>
                <c:pt idx="104">
                  <c:v>2.8549459118778904</c:v>
                </c:pt>
                <c:pt idx="105">
                  <c:v>2.886512234363702</c:v>
                </c:pt>
                <c:pt idx="106">
                  <c:v>2.801317558264214</c:v>
                </c:pt>
                <c:pt idx="107">
                  <c:v>2.7937729197035295</c:v>
                </c:pt>
                <c:pt idx="108">
                  <c:v>2.843929567148006</c:v>
                </c:pt>
                <c:pt idx="109">
                  <c:v>2.7059828340740406</c:v>
                </c:pt>
                <c:pt idx="110">
                  <c:v>2.7032941489254587</c:v>
                </c:pt>
                <c:pt idx="111">
                  <c:v>2.6027063395669865</c:v>
                </c:pt>
                <c:pt idx="112">
                  <c:v>2.6011779784047793</c:v>
                </c:pt>
                <c:pt idx="113">
                  <c:v>2.3846049023935514</c:v>
                </c:pt>
                <c:pt idx="114">
                  <c:v>2.3918164666923887</c:v>
                </c:pt>
                <c:pt idx="115">
                  <c:v>2.2397958635289985</c:v>
                </c:pt>
                <c:pt idx="116">
                  <c:v>2.269969476017109</c:v>
                </c:pt>
                <c:pt idx="117">
                  <c:v>2.0624638402548165</c:v>
                </c:pt>
                <c:pt idx="118">
                  <c:v>2.1062911501452075</c:v>
                </c:pt>
                <c:pt idx="119">
                  <c:v>2.0044346688301671</c:v>
                </c:pt>
                <c:pt idx="120">
                  <c:v>2.0591457608825778</c:v>
                </c:pt>
                <c:pt idx="121">
                  <c:v>2.4265539748941571</c:v>
                </c:pt>
                <c:pt idx="122">
                  <c:v>2.6200727154484564</c:v>
                </c:pt>
                <c:pt idx="123">
                  <c:v>2.5823353768724155</c:v>
                </c:pt>
                <c:pt idx="124">
                  <c:v>2.4175444149462875</c:v>
                </c:pt>
                <c:pt idx="125">
                  <c:v>2.4990868872888314</c:v>
                </c:pt>
                <c:pt idx="126">
                  <c:v>2.4962770673799595</c:v>
                </c:pt>
                <c:pt idx="127">
                  <c:v>2.4777659958111218</c:v>
                </c:pt>
                <c:pt idx="128">
                  <c:v>2.4968332000912743</c:v>
                </c:pt>
                <c:pt idx="129">
                  <c:v>2.5172120078213154</c:v>
                </c:pt>
                <c:pt idx="130">
                  <c:v>2.4792794081655827</c:v>
                </c:pt>
                <c:pt idx="131">
                  <c:v>2.6663792418631846</c:v>
                </c:pt>
                <c:pt idx="132">
                  <c:v>2.6596417153769245</c:v>
                </c:pt>
                <c:pt idx="133">
                  <c:v>2.6589100268324923</c:v>
                </c:pt>
                <c:pt idx="134">
                  <c:v>2.4852758567736202</c:v>
                </c:pt>
                <c:pt idx="135">
                  <c:v>2.6153108406900616</c:v>
                </c:pt>
                <c:pt idx="136">
                  <c:v>2.6304796182889891</c:v>
                </c:pt>
                <c:pt idx="137">
                  <c:v>2.8516482790154201</c:v>
                </c:pt>
                <c:pt idx="138">
                  <c:v>3.2241859107857622</c:v>
                </c:pt>
                <c:pt idx="139">
                  <c:v>3.2876530507736876</c:v>
                </c:pt>
                <c:pt idx="140">
                  <c:v>3.0914030024371502</c:v>
                </c:pt>
                <c:pt idx="141">
                  <c:v>3.1239588495150472</c:v>
                </c:pt>
                <c:pt idx="142">
                  <c:v>3.2483746260172759</c:v>
                </c:pt>
                <c:pt idx="143">
                  <c:v>3.3493958890284525</c:v>
                </c:pt>
                <c:pt idx="144">
                  <c:v>3.3459038598933497</c:v>
                </c:pt>
                <c:pt idx="145">
                  <c:v>3.3456696824959713</c:v>
                </c:pt>
                <c:pt idx="146">
                  <c:v>3.2406998339941082</c:v>
                </c:pt>
                <c:pt idx="147">
                  <c:v>3.3124704189656637</c:v>
                </c:pt>
                <c:pt idx="148">
                  <c:v>3.482568392957456</c:v>
                </c:pt>
                <c:pt idx="149">
                  <c:v>3.5320122540689485</c:v>
                </c:pt>
                <c:pt idx="150">
                  <c:v>3.4226454176159473</c:v>
                </c:pt>
                <c:pt idx="151">
                  <c:v>3.5329703985191538</c:v>
                </c:pt>
                <c:pt idx="152">
                  <c:v>3.4965512729898145</c:v>
                </c:pt>
                <c:pt idx="153">
                  <c:v>3.5085809245059267</c:v>
                </c:pt>
                <c:pt idx="154">
                  <c:v>3.6189237574977233</c:v>
                </c:pt>
                <c:pt idx="155">
                  <c:v>3.6565268038917802</c:v>
                </c:pt>
                <c:pt idx="156">
                  <c:v>3.3105099013613426</c:v>
                </c:pt>
                <c:pt idx="157">
                  <c:v>3.4036802605688385</c:v>
                </c:pt>
                <c:pt idx="158">
                  <c:v>3.1476554895295958</c:v>
                </c:pt>
                <c:pt idx="159">
                  <c:v>2.8481720017231904</c:v>
                </c:pt>
                <c:pt idx="160">
                  <c:v>3.0161464419799091</c:v>
                </c:pt>
                <c:pt idx="161">
                  <c:v>3.3081093205075036</c:v>
                </c:pt>
                <c:pt idx="162">
                  <c:v>3.2198164731166696</c:v>
                </c:pt>
                <c:pt idx="163">
                  <c:v>3.1275765845334695</c:v>
                </c:pt>
                <c:pt idx="164">
                  <c:v>2.8908513420137725</c:v>
                </c:pt>
                <c:pt idx="165">
                  <c:v>2.8172721983926694</c:v>
                </c:pt>
                <c:pt idx="166">
                  <c:v>3.0386648441475601</c:v>
                </c:pt>
                <c:pt idx="167">
                  <c:v>2.9743885536114281</c:v>
                </c:pt>
                <c:pt idx="168">
                  <c:v>3.1939600392424738</c:v>
                </c:pt>
                <c:pt idx="169">
                  <c:v>3.1932026535739824</c:v>
                </c:pt>
                <c:pt idx="170">
                  <c:v>3.1668246792708588</c:v>
                </c:pt>
                <c:pt idx="171">
                  <c:v>3.1210751503745047</c:v>
                </c:pt>
                <c:pt idx="172">
                  <c:v>3.0177027858276904</c:v>
                </c:pt>
                <c:pt idx="173">
                  <c:v>3.0653440801671206</c:v>
                </c:pt>
                <c:pt idx="174">
                  <c:v>3.1411278022991764</c:v>
                </c:pt>
                <c:pt idx="175">
                  <c:v>2.9647940134596102</c:v>
                </c:pt>
                <c:pt idx="176">
                  <c:v>2.932471108340434</c:v>
                </c:pt>
                <c:pt idx="177">
                  <c:v>2.869066172688874</c:v>
                </c:pt>
                <c:pt idx="178">
                  <c:v>2.8791219020912395</c:v>
                </c:pt>
                <c:pt idx="179">
                  <c:v>2.8199986261922136</c:v>
                </c:pt>
                <c:pt idx="180">
                  <c:v>2.4648312619351098</c:v>
                </c:pt>
                <c:pt idx="181">
                  <c:v>2.703130267987647</c:v>
                </c:pt>
                <c:pt idx="182">
                  <c:v>2.7396530468202838</c:v>
                </c:pt>
                <c:pt idx="183">
                  <c:v>2.7676026226385981</c:v>
                </c:pt>
                <c:pt idx="184">
                  <c:v>2.7342291622576953</c:v>
                </c:pt>
                <c:pt idx="185">
                  <c:v>2.5940349191794567</c:v>
                </c:pt>
                <c:pt idx="186">
                  <c:v>2.6010664800660122</c:v>
                </c:pt>
                <c:pt idx="187">
                  <c:v>2.4978293342801736</c:v>
                </c:pt>
                <c:pt idx="188">
                  <c:v>3.0526005921951658</c:v>
                </c:pt>
                <c:pt idx="189">
                  <c:v>3.122152761742814</c:v>
                </c:pt>
                <c:pt idx="190">
                  <c:v>3.1640846616460911</c:v>
                </c:pt>
                <c:pt idx="191">
                  <c:v>3.1020979478004933</c:v>
                </c:pt>
                <c:pt idx="192">
                  <c:v>3.0301696590844092</c:v>
                </c:pt>
                <c:pt idx="193">
                  <c:v>3.1738232539452809</c:v>
                </c:pt>
                <c:pt idx="194">
                  <c:v>3.1610497448139685</c:v>
                </c:pt>
                <c:pt idx="195">
                  <c:v>3.0614659146798653</c:v>
                </c:pt>
                <c:pt idx="196">
                  <c:v>3.1344869488878024</c:v>
                </c:pt>
                <c:pt idx="197">
                  <c:v>3.2830991621131491</c:v>
                </c:pt>
                <c:pt idx="198">
                  <c:v>3.4389065700751309</c:v>
                </c:pt>
                <c:pt idx="199">
                  <c:v>3.8148718028546296</c:v>
                </c:pt>
                <c:pt idx="200">
                  <c:v>3.9218613464724705</c:v>
                </c:pt>
                <c:pt idx="201">
                  <c:v>3.9204352796310391</c:v>
                </c:pt>
                <c:pt idx="202">
                  <c:v>3.8333655782822733</c:v>
                </c:pt>
                <c:pt idx="203">
                  <c:v>3.9597269853530102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33-4175-AD12-07C84F684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6773952"/>
        <c:axId val="-1236769056"/>
      </c:lineChart>
      <c:dateAx>
        <c:axId val="-1236773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69056"/>
        <c:crosses val="autoZero"/>
        <c:auto val="1"/>
        <c:lblOffset val="100"/>
        <c:baseTimeUnit val="months"/>
      </c:dateAx>
      <c:valAx>
        <c:axId val="-1236769056"/>
        <c:scaling>
          <c:orientation val="minMax"/>
          <c:max val="6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73952"/>
        <c:crosses val="autoZero"/>
        <c:crossBetween val="between"/>
      </c:valAx>
      <c:valAx>
        <c:axId val="-1236768512"/>
        <c:scaling>
          <c:orientation val="minMax"/>
          <c:max val="18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3824"/>
        <c:crosses val="max"/>
        <c:crossBetween val="between"/>
      </c:valAx>
      <c:dateAx>
        <c:axId val="-12367538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-123676851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spread_gf!$E$1</c:f>
              <c:strCache>
                <c:ptCount val="1"/>
                <c:pt idx="0">
                  <c:v>Top组中位数-Bottom组中位数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spread_gf!$A$2:$A$300</c:f>
              <c:numCache>
                <c:formatCode>m/d/yyyy</c:formatCode>
                <c:ptCount val="299"/>
                <c:pt idx="0">
                  <c:v>39082</c:v>
                </c:pt>
                <c:pt idx="1">
                  <c:v>39113</c:v>
                </c:pt>
                <c:pt idx="2">
                  <c:v>39141</c:v>
                </c:pt>
                <c:pt idx="3">
                  <c:v>39172</c:v>
                </c:pt>
                <c:pt idx="4">
                  <c:v>39202</c:v>
                </c:pt>
                <c:pt idx="5">
                  <c:v>39233</c:v>
                </c:pt>
                <c:pt idx="6">
                  <c:v>39263</c:v>
                </c:pt>
                <c:pt idx="7">
                  <c:v>39294</c:v>
                </c:pt>
                <c:pt idx="8">
                  <c:v>39325</c:v>
                </c:pt>
                <c:pt idx="9">
                  <c:v>39355</c:v>
                </c:pt>
                <c:pt idx="10">
                  <c:v>39386</c:v>
                </c:pt>
                <c:pt idx="11">
                  <c:v>39416</c:v>
                </c:pt>
                <c:pt idx="12">
                  <c:v>39447</c:v>
                </c:pt>
                <c:pt idx="13">
                  <c:v>39478</c:v>
                </c:pt>
                <c:pt idx="14">
                  <c:v>39507</c:v>
                </c:pt>
                <c:pt idx="15">
                  <c:v>39538</c:v>
                </c:pt>
                <c:pt idx="16">
                  <c:v>39568</c:v>
                </c:pt>
                <c:pt idx="17">
                  <c:v>39599</c:v>
                </c:pt>
                <c:pt idx="18">
                  <c:v>39629</c:v>
                </c:pt>
                <c:pt idx="19">
                  <c:v>39660</c:v>
                </c:pt>
                <c:pt idx="20">
                  <c:v>39691</c:v>
                </c:pt>
                <c:pt idx="21">
                  <c:v>39721</c:v>
                </c:pt>
                <c:pt idx="22">
                  <c:v>39752</c:v>
                </c:pt>
                <c:pt idx="23">
                  <c:v>39782</c:v>
                </c:pt>
                <c:pt idx="24">
                  <c:v>39813</c:v>
                </c:pt>
                <c:pt idx="25">
                  <c:v>39844</c:v>
                </c:pt>
                <c:pt idx="26">
                  <c:v>39872</c:v>
                </c:pt>
                <c:pt idx="27">
                  <c:v>39903</c:v>
                </c:pt>
                <c:pt idx="28">
                  <c:v>39933</c:v>
                </c:pt>
                <c:pt idx="29">
                  <c:v>39964</c:v>
                </c:pt>
                <c:pt idx="30">
                  <c:v>39994</c:v>
                </c:pt>
                <c:pt idx="31">
                  <c:v>40025</c:v>
                </c:pt>
                <c:pt idx="32">
                  <c:v>40056</c:v>
                </c:pt>
                <c:pt idx="33">
                  <c:v>40086</c:v>
                </c:pt>
                <c:pt idx="34">
                  <c:v>40117</c:v>
                </c:pt>
                <c:pt idx="35">
                  <c:v>40147</c:v>
                </c:pt>
                <c:pt idx="36">
                  <c:v>40178</c:v>
                </c:pt>
                <c:pt idx="37">
                  <c:v>40209</c:v>
                </c:pt>
                <c:pt idx="38">
                  <c:v>40237</c:v>
                </c:pt>
                <c:pt idx="39">
                  <c:v>40268</c:v>
                </c:pt>
                <c:pt idx="40">
                  <c:v>40298</c:v>
                </c:pt>
                <c:pt idx="41">
                  <c:v>40329</c:v>
                </c:pt>
                <c:pt idx="42">
                  <c:v>40359</c:v>
                </c:pt>
                <c:pt idx="43">
                  <c:v>40390</c:v>
                </c:pt>
                <c:pt idx="44">
                  <c:v>40421</c:v>
                </c:pt>
                <c:pt idx="45">
                  <c:v>40451</c:v>
                </c:pt>
                <c:pt idx="46">
                  <c:v>40482</c:v>
                </c:pt>
                <c:pt idx="47">
                  <c:v>40512</c:v>
                </c:pt>
                <c:pt idx="48">
                  <c:v>40543</c:v>
                </c:pt>
                <c:pt idx="49">
                  <c:v>40574</c:v>
                </c:pt>
                <c:pt idx="50">
                  <c:v>40602</c:v>
                </c:pt>
                <c:pt idx="51">
                  <c:v>40633</c:v>
                </c:pt>
                <c:pt idx="52">
                  <c:v>40663</c:v>
                </c:pt>
                <c:pt idx="53">
                  <c:v>40694</c:v>
                </c:pt>
                <c:pt idx="54">
                  <c:v>40724</c:v>
                </c:pt>
                <c:pt idx="55">
                  <c:v>40755</c:v>
                </c:pt>
                <c:pt idx="56">
                  <c:v>40786</c:v>
                </c:pt>
                <c:pt idx="57">
                  <c:v>40816</c:v>
                </c:pt>
                <c:pt idx="58">
                  <c:v>40847</c:v>
                </c:pt>
                <c:pt idx="59">
                  <c:v>40877</c:v>
                </c:pt>
                <c:pt idx="60">
                  <c:v>40908</c:v>
                </c:pt>
                <c:pt idx="61">
                  <c:v>40939</c:v>
                </c:pt>
                <c:pt idx="62">
                  <c:v>40968</c:v>
                </c:pt>
                <c:pt idx="63">
                  <c:v>40999</c:v>
                </c:pt>
                <c:pt idx="64">
                  <c:v>41029</c:v>
                </c:pt>
                <c:pt idx="65">
                  <c:v>41060</c:v>
                </c:pt>
                <c:pt idx="66">
                  <c:v>41090</c:v>
                </c:pt>
                <c:pt idx="67">
                  <c:v>41121</c:v>
                </c:pt>
                <c:pt idx="68">
                  <c:v>41152</c:v>
                </c:pt>
                <c:pt idx="69">
                  <c:v>41182</c:v>
                </c:pt>
                <c:pt idx="70">
                  <c:v>41213</c:v>
                </c:pt>
                <c:pt idx="71">
                  <c:v>41243</c:v>
                </c:pt>
                <c:pt idx="72">
                  <c:v>41274</c:v>
                </c:pt>
                <c:pt idx="73">
                  <c:v>41305</c:v>
                </c:pt>
                <c:pt idx="74">
                  <c:v>41333</c:v>
                </c:pt>
                <c:pt idx="75">
                  <c:v>41364</c:v>
                </c:pt>
                <c:pt idx="76">
                  <c:v>41394</c:v>
                </c:pt>
                <c:pt idx="77">
                  <c:v>41425</c:v>
                </c:pt>
                <c:pt idx="78">
                  <c:v>41455</c:v>
                </c:pt>
                <c:pt idx="79">
                  <c:v>41486</c:v>
                </c:pt>
                <c:pt idx="80">
                  <c:v>41517</c:v>
                </c:pt>
                <c:pt idx="81">
                  <c:v>41547</c:v>
                </c:pt>
                <c:pt idx="82">
                  <c:v>41578</c:v>
                </c:pt>
                <c:pt idx="83">
                  <c:v>41608</c:v>
                </c:pt>
                <c:pt idx="84">
                  <c:v>41639</c:v>
                </c:pt>
                <c:pt idx="85">
                  <c:v>41670</c:v>
                </c:pt>
                <c:pt idx="86">
                  <c:v>41698</c:v>
                </c:pt>
                <c:pt idx="87">
                  <c:v>41729</c:v>
                </c:pt>
                <c:pt idx="88">
                  <c:v>41759</c:v>
                </c:pt>
                <c:pt idx="89">
                  <c:v>41790</c:v>
                </c:pt>
                <c:pt idx="90">
                  <c:v>41820</c:v>
                </c:pt>
                <c:pt idx="91">
                  <c:v>41851</c:v>
                </c:pt>
                <c:pt idx="92">
                  <c:v>41882</c:v>
                </c:pt>
                <c:pt idx="93">
                  <c:v>41912</c:v>
                </c:pt>
                <c:pt idx="94">
                  <c:v>41943</c:v>
                </c:pt>
                <c:pt idx="95">
                  <c:v>41973</c:v>
                </c:pt>
                <c:pt idx="96">
                  <c:v>42004</c:v>
                </c:pt>
                <c:pt idx="97">
                  <c:v>42035</c:v>
                </c:pt>
                <c:pt idx="98">
                  <c:v>42063</c:v>
                </c:pt>
                <c:pt idx="99">
                  <c:v>42094</c:v>
                </c:pt>
                <c:pt idx="100">
                  <c:v>42124</c:v>
                </c:pt>
                <c:pt idx="101">
                  <c:v>42155</c:v>
                </c:pt>
                <c:pt idx="102">
                  <c:v>42185</c:v>
                </c:pt>
                <c:pt idx="103">
                  <c:v>42216</c:v>
                </c:pt>
                <c:pt idx="104">
                  <c:v>42247</c:v>
                </c:pt>
                <c:pt idx="105">
                  <c:v>42277</c:v>
                </c:pt>
                <c:pt idx="106">
                  <c:v>42308</c:v>
                </c:pt>
                <c:pt idx="107">
                  <c:v>42338</c:v>
                </c:pt>
                <c:pt idx="108">
                  <c:v>42369</c:v>
                </c:pt>
                <c:pt idx="109">
                  <c:v>42400</c:v>
                </c:pt>
                <c:pt idx="110">
                  <c:v>42429</c:v>
                </c:pt>
                <c:pt idx="111">
                  <c:v>42460</c:v>
                </c:pt>
                <c:pt idx="112">
                  <c:v>42490</c:v>
                </c:pt>
                <c:pt idx="113">
                  <c:v>42521</c:v>
                </c:pt>
                <c:pt idx="114">
                  <c:v>42551</c:v>
                </c:pt>
                <c:pt idx="115">
                  <c:v>42582</c:v>
                </c:pt>
                <c:pt idx="116">
                  <c:v>42613</c:v>
                </c:pt>
                <c:pt idx="117">
                  <c:v>42643</c:v>
                </c:pt>
                <c:pt idx="118">
                  <c:v>42674</c:v>
                </c:pt>
                <c:pt idx="119">
                  <c:v>42704</c:v>
                </c:pt>
                <c:pt idx="120">
                  <c:v>42735</c:v>
                </c:pt>
                <c:pt idx="121">
                  <c:v>42766</c:v>
                </c:pt>
                <c:pt idx="122">
                  <c:v>42794</c:v>
                </c:pt>
                <c:pt idx="123">
                  <c:v>42825</c:v>
                </c:pt>
                <c:pt idx="124">
                  <c:v>42855</c:v>
                </c:pt>
                <c:pt idx="125">
                  <c:v>42886</c:v>
                </c:pt>
                <c:pt idx="126">
                  <c:v>42916</c:v>
                </c:pt>
                <c:pt idx="127">
                  <c:v>42947</c:v>
                </c:pt>
                <c:pt idx="128">
                  <c:v>42978</c:v>
                </c:pt>
                <c:pt idx="129">
                  <c:v>43008</c:v>
                </c:pt>
                <c:pt idx="130">
                  <c:v>43039</c:v>
                </c:pt>
                <c:pt idx="131">
                  <c:v>43069</c:v>
                </c:pt>
                <c:pt idx="132">
                  <c:v>43100</c:v>
                </c:pt>
                <c:pt idx="133">
                  <c:v>43131</c:v>
                </c:pt>
                <c:pt idx="134">
                  <c:v>43159</c:v>
                </c:pt>
                <c:pt idx="135">
                  <c:v>43190</c:v>
                </c:pt>
                <c:pt idx="136">
                  <c:v>43220</c:v>
                </c:pt>
                <c:pt idx="137">
                  <c:v>43251</c:v>
                </c:pt>
                <c:pt idx="138">
                  <c:v>43281</c:v>
                </c:pt>
                <c:pt idx="139">
                  <c:v>43312</c:v>
                </c:pt>
                <c:pt idx="140">
                  <c:v>43343</c:v>
                </c:pt>
                <c:pt idx="141">
                  <c:v>43373</c:v>
                </c:pt>
                <c:pt idx="142">
                  <c:v>43404</c:v>
                </c:pt>
                <c:pt idx="143">
                  <c:v>43434</c:v>
                </c:pt>
                <c:pt idx="144">
                  <c:v>43465</c:v>
                </c:pt>
                <c:pt idx="145">
                  <c:v>43496</c:v>
                </c:pt>
                <c:pt idx="146">
                  <c:v>43524</c:v>
                </c:pt>
                <c:pt idx="147">
                  <c:v>43555</c:v>
                </c:pt>
                <c:pt idx="148">
                  <c:v>43585</c:v>
                </c:pt>
                <c:pt idx="149">
                  <c:v>43616</c:v>
                </c:pt>
                <c:pt idx="150">
                  <c:v>43646</c:v>
                </c:pt>
                <c:pt idx="151">
                  <c:v>43677</c:v>
                </c:pt>
                <c:pt idx="152">
                  <c:v>43708</c:v>
                </c:pt>
                <c:pt idx="153">
                  <c:v>43738</c:v>
                </c:pt>
                <c:pt idx="154">
                  <c:v>43769</c:v>
                </c:pt>
                <c:pt idx="155">
                  <c:v>43799</c:v>
                </c:pt>
                <c:pt idx="156">
                  <c:v>43830</c:v>
                </c:pt>
                <c:pt idx="157">
                  <c:v>43861</c:v>
                </c:pt>
                <c:pt idx="158">
                  <c:v>43890</c:v>
                </c:pt>
                <c:pt idx="159">
                  <c:v>43921</c:v>
                </c:pt>
                <c:pt idx="160">
                  <c:v>43951</c:v>
                </c:pt>
                <c:pt idx="161">
                  <c:v>43982</c:v>
                </c:pt>
                <c:pt idx="162">
                  <c:v>44012</c:v>
                </c:pt>
                <c:pt idx="163">
                  <c:v>44043</c:v>
                </c:pt>
                <c:pt idx="164">
                  <c:v>44074</c:v>
                </c:pt>
                <c:pt idx="165">
                  <c:v>44104</c:v>
                </c:pt>
                <c:pt idx="166">
                  <c:v>44135</c:v>
                </c:pt>
                <c:pt idx="167">
                  <c:v>44165</c:v>
                </c:pt>
                <c:pt idx="168">
                  <c:v>44196</c:v>
                </c:pt>
                <c:pt idx="169">
                  <c:v>44227</c:v>
                </c:pt>
                <c:pt idx="170">
                  <c:v>44255</c:v>
                </c:pt>
                <c:pt idx="171">
                  <c:v>44286</c:v>
                </c:pt>
                <c:pt idx="172">
                  <c:v>44316</c:v>
                </c:pt>
                <c:pt idx="173">
                  <c:v>44347</c:v>
                </c:pt>
                <c:pt idx="174">
                  <c:v>44377</c:v>
                </c:pt>
                <c:pt idx="175">
                  <c:v>44408</c:v>
                </c:pt>
                <c:pt idx="176">
                  <c:v>44439</c:v>
                </c:pt>
                <c:pt idx="177">
                  <c:v>44469</c:v>
                </c:pt>
                <c:pt idx="178">
                  <c:v>44500</c:v>
                </c:pt>
                <c:pt idx="179">
                  <c:v>44530</c:v>
                </c:pt>
                <c:pt idx="180">
                  <c:v>44561</c:v>
                </c:pt>
                <c:pt idx="181">
                  <c:v>44592</c:v>
                </c:pt>
                <c:pt idx="182">
                  <c:v>44620</c:v>
                </c:pt>
                <c:pt idx="183">
                  <c:v>44651</c:v>
                </c:pt>
                <c:pt idx="184">
                  <c:v>44681</c:v>
                </c:pt>
                <c:pt idx="185">
                  <c:v>44712</c:v>
                </c:pt>
                <c:pt idx="186">
                  <c:v>44742</c:v>
                </c:pt>
                <c:pt idx="187">
                  <c:v>44773</c:v>
                </c:pt>
                <c:pt idx="188">
                  <c:v>44804</c:v>
                </c:pt>
                <c:pt idx="189">
                  <c:v>44834</c:v>
                </c:pt>
                <c:pt idx="190">
                  <c:v>44865</c:v>
                </c:pt>
                <c:pt idx="191">
                  <c:v>44895</c:v>
                </c:pt>
                <c:pt idx="192">
                  <c:v>44926</c:v>
                </c:pt>
                <c:pt idx="193">
                  <c:v>44957</c:v>
                </c:pt>
                <c:pt idx="194">
                  <c:v>44985</c:v>
                </c:pt>
                <c:pt idx="195">
                  <c:v>45016</c:v>
                </c:pt>
                <c:pt idx="196">
                  <c:v>45046</c:v>
                </c:pt>
                <c:pt idx="197">
                  <c:v>45077</c:v>
                </c:pt>
                <c:pt idx="198">
                  <c:v>45107</c:v>
                </c:pt>
                <c:pt idx="199">
                  <c:v>45138</c:v>
                </c:pt>
                <c:pt idx="200">
                  <c:v>45169</c:v>
                </c:pt>
                <c:pt idx="201">
                  <c:v>45199</c:v>
                </c:pt>
                <c:pt idx="202">
                  <c:v>45230</c:v>
                </c:pt>
                <c:pt idx="203">
                  <c:v>45260</c:v>
                </c:pt>
                <c:pt idx="204">
                  <c:v>45291</c:v>
                </c:pt>
                <c:pt idx="205">
                  <c:v>45322</c:v>
                </c:pt>
                <c:pt idx="206">
                  <c:v>45351</c:v>
                </c:pt>
                <c:pt idx="207">
                  <c:v>45382</c:v>
                </c:pt>
                <c:pt idx="208">
                  <c:v>45412</c:v>
                </c:pt>
                <c:pt idx="209">
                  <c:v>45443</c:v>
                </c:pt>
                <c:pt idx="210">
                  <c:v>45473</c:v>
                </c:pt>
                <c:pt idx="211">
                  <c:v>45504</c:v>
                </c:pt>
                <c:pt idx="212">
                  <c:v>45535</c:v>
                </c:pt>
                <c:pt idx="213">
                  <c:v>45565</c:v>
                </c:pt>
                <c:pt idx="214">
                  <c:v>45596</c:v>
                </c:pt>
                <c:pt idx="215">
                  <c:v>45626</c:v>
                </c:pt>
                <c:pt idx="216">
                  <c:v>45657</c:v>
                </c:pt>
                <c:pt idx="217">
                  <c:v>45688</c:v>
                </c:pt>
                <c:pt idx="218">
                  <c:v>45716</c:v>
                </c:pt>
                <c:pt idx="219">
                  <c:v>45747</c:v>
                </c:pt>
                <c:pt idx="220">
                  <c:v>45777</c:v>
                </c:pt>
                <c:pt idx="221">
                  <c:v>45808</c:v>
                </c:pt>
                <c:pt idx="222">
                  <c:v>45838</c:v>
                </c:pt>
                <c:pt idx="223">
                  <c:v>45869</c:v>
                </c:pt>
                <c:pt idx="224">
                  <c:v>45900</c:v>
                </c:pt>
                <c:pt idx="225">
                  <c:v>45930</c:v>
                </c:pt>
                <c:pt idx="226">
                  <c:v>45961</c:v>
                </c:pt>
                <c:pt idx="227">
                  <c:v>45991</c:v>
                </c:pt>
                <c:pt idx="228">
                  <c:v>46022</c:v>
                </c:pt>
              </c:numCache>
            </c:numRef>
          </c:cat>
          <c:val>
            <c:numRef>
              <c:f>spread_gf!$E$2:$E$300</c:f>
              <c:numCache>
                <c:formatCode>0%</c:formatCode>
                <c:ptCount val="299"/>
                <c:pt idx="0">
                  <c:v>1.6853719362239501</c:v>
                </c:pt>
                <c:pt idx="1">
                  <c:v>1.6853719362239501</c:v>
                </c:pt>
                <c:pt idx="2">
                  <c:v>1.6853719362239501</c:v>
                </c:pt>
                <c:pt idx="3">
                  <c:v>1.6853719362239501</c:v>
                </c:pt>
                <c:pt idx="4">
                  <c:v>1.6853719362239501</c:v>
                </c:pt>
                <c:pt idx="5">
                  <c:v>1.6853719362239501</c:v>
                </c:pt>
                <c:pt idx="6">
                  <c:v>1.6853719362239501</c:v>
                </c:pt>
                <c:pt idx="7">
                  <c:v>1.6853719362239501</c:v>
                </c:pt>
                <c:pt idx="8">
                  <c:v>1.6853719362239501</c:v>
                </c:pt>
                <c:pt idx="9">
                  <c:v>1.6853719362239501</c:v>
                </c:pt>
                <c:pt idx="10">
                  <c:v>1.6853719362239501</c:v>
                </c:pt>
                <c:pt idx="11">
                  <c:v>1.6853719362239501</c:v>
                </c:pt>
                <c:pt idx="12">
                  <c:v>1.5791972019937801</c:v>
                </c:pt>
                <c:pt idx="13">
                  <c:v>1.5055528880013</c:v>
                </c:pt>
                <c:pt idx="14">
                  <c:v>1.42927297070641</c:v>
                </c:pt>
                <c:pt idx="15">
                  <c:v>1.3241116027983899</c:v>
                </c:pt>
                <c:pt idx="16">
                  <c:v>1.2527497668491001</c:v>
                </c:pt>
                <c:pt idx="17">
                  <c:v>1.22595253227024</c:v>
                </c:pt>
                <c:pt idx="18">
                  <c:v>1.18883096145788</c:v>
                </c:pt>
                <c:pt idx="19">
                  <c:v>1.1319174579715601</c:v>
                </c:pt>
                <c:pt idx="20">
                  <c:v>1.1226825773571401</c:v>
                </c:pt>
                <c:pt idx="21">
                  <c:v>1.1139094538052301</c:v>
                </c:pt>
                <c:pt idx="22">
                  <c:v>1.1114657469057501</c:v>
                </c:pt>
                <c:pt idx="23">
                  <c:v>1.1241334420723199</c:v>
                </c:pt>
                <c:pt idx="24">
                  <c:v>1.1157475561632599</c:v>
                </c:pt>
                <c:pt idx="25">
                  <c:v>1.1159601652850899</c:v>
                </c:pt>
                <c:pt idx="26">
                  <c:v>1.08870295100317</c:v>
                </c:pt>
                <c:pt idx="27">
                  <c:v>1.0830222786489201</c:v>
                </c:pt>
                <c:pt idx="28">
                  <c:v>1.1392620240254501</c:v>
                </c:pt>
                <c:pt idx="29">
                  <c:v>1.1709454717671499</c:v>
                </c:pt>
                <c:pt idx="30">
                  <c:v>1.27484558399739</c:v>
                </c:pt>
                <c:pt idx="31">
                  <c:v>1.33161142793276</c:v>
                </c:pt>
                <c:pt idx="32">
                  <c:v>1.49274228083269</c:v>
                </c:pt>
                <c:pt idx="33">
                  <c:v>1.67139019369083</c:v>
                </c:pt>
                <c:pt idx="34">
                  <c:v>1.82645878179331</c:v>
                </c:pt>
                <c:pt idx="35">
                  <c:v>1.94040235310311</c:v>
                </c:pt>
                <c:pt idx="36">
                  <c:v>2.07564812413329</c:v>
                </c:pt>
                <c:pt idx="37">
                  <c:v>2.1929927389081798</c:v>
                </c:pt>
                <c:pt idx="38">
                  <c:v>2.3201157231421599</c:v>
                </c:pt>
                <c:pt idx="39">
                  <c:v>2.4462870873387499</c:v>
                </c:pt>
                <c:pt idx="40">
                  <c:v>2.3978425271663202</c:v>
                </c:pt>
                <c:pt idx="41">
                  <c:v>2.3732514898277999</c:v>
                </c:pt>
                <c:pt idx="42">
                  <c:v>2.26288166291905</c:v>
                </c:pt>
                <c:pt idx="43">
                  <c:v>2.1820693207850299</c:v>
                </c:pt>
                <c:pt idx="44">
                  <c:v>2.0150407338006402</c:v>
                </c:pt>
                <c:pt idx="45">
                  <c:v>1.8217165354798299</c:v>
                </c:pt>
                <c:pt idx="46">
                  <c:v>1.6334577769901499</c:v>
                </c:pt>
                <c:pt idx="47">
                  <c:v>1.4747843026325</c:v>
                </c:pt>
                <c:pt idx="48">
                  <c:v>1.3051742320620701</c:v>
                </c:pt>
                <c:pt idx="49">
                  <c:v>1.17551322036817</c:v>
                </c:pt>
                <c:pt idx="50">
                  <c:v>1.0506726782751401</c:v>
                </c:pt>
                <c:pt idx="51">
                  <c:v>0.92100644252839503</c:v>
                </c:pt>
                <c:pt idx="52">
                  <c:v>0.909926302258385</c:v>
                </c:pt>
                <c:pt idx="53">
                  <c:v>0.87709695413575595</c:v>
                </c:pt>
                <c:pt idx="54">
                  <c:v>0.862243258108919</c:v>
                </c:pt>
                <c:pt idx="55">
                  <c:v>0.87494224720643299</c:v>
                </c:pt>
                <c:pt idx="56">
                  <c:v>0.88112358477875397</c:v>
                </c:pt>
                <c:pt idx="57">
                  <c:v>0.89487279612489501</c:v>
                </c:pt>
                <c:pt idx="58">
                  <c:v>0.91394133247395903</c:v>
                </c:pt>
                <c:pt idx="59">
                  <c:v>0.92429644978861403</c:v>
                </c:pt>
                <c:pt idx="60">
                  <c:v>0.92966624531664399</c:v>
                </c:pt>
                <c:pt idx="61">
                  <c:v>0.91735985364282902</c:v>
                </c:pt>
                <c:pt idx="62">
                  <c:v>0.89869288251290602</c:v>
                </c:pt>
                <c:pt idx="63">
                  <c:v>0.88689686073178897</c:v>
                </c:pt>
                <c:pt idx="64">
                  <c:v>0.89716627154254402</c:v>
                </c:pt>
                <c:pt idx="65">
                  <c:v>0.92498823613650605</c:v>
                </c:pt>
                <c:pt idx="66">
                  <c:v>0.93315409000098903</c:v>
                </c:pt>
                <c:pt idx="67">
                  <c:v>0.93869548096253397</c:v>
                </c:pt>
                <c:pt idx="68">
                  <c:v>0.97061498870824203</c:v>
                </c:pt>
                <c:pt idx="69">
                  <c:v>0.98834327721457305</c:v>
                </c:pt>
                <c:pt idx="70">
                  <c:v>1.0618743652387901</c:v>
                </c:pt>
                <c:pt idx="71">
                  <c:v>1.1110298142138999</c:v>
                </c:pt>
                <c:pt idx="72">
                  <c:v>1.1673114474197299</c:v>
                </c:pt>
                <c:pt idx="73">
                  <c:v>1.18998196610489</c:v>
                </c:pt>
                <c:pt idx="74">
                  <c:v>1.1986804264389199</c:v>
                </c:pt>
                <c:pt idx="75">
                  <c:v>1.2159140755603</c:v>
                </c:pt>
                <c:pt idx="76">
                  <c:v>1.2571770245894001</c:v>
                </c:pt>
                <c:pt idx="77">
                  <c:v>1.25461001733399</c:v>
                </c:pt>
                <c:pt idx="78">
                  <c:v>1.2701699278390901</c:v>
                </c:pt>
                <c:pt idx="79">
                  <c:v>1.3102937978161</c:v>
                </c:pt>
                <c:pt idx="80">
                  <c:v>1.3349263717497</c:v>
                </c:pt>
                <c:pt idx="81">
                  <c:v>1.35409877360647</c:v>
                </c:pt>
                <c:pt idx="82">
                  <c:v>1.3216509150395801</c:v>
                </c:pt>
                <c:pt idx="83">
                  <c:v>1.31187848089547</c:v>
                </c:pt>
                <c:pt idx="84">
                  <c:v>1.30762409845647</c:v>
                </c:pt>
                <c:pt idx="85">
                  <c:v>1.33369690238505</c:v>
                </c:pt>
                <c:pt idx="86">
                  <c:v>1.3634915000335199</c:v>
                </c:pt>
                <c:pt idx="87">
                  <c:v>1.3833024737270401</c:v>
                </c:pt>
                <c:pt idx="88">
                  <c:v>1.33047936069816</c:v>
                </c:pt>
                <c:pt idx="89">
                  <c:v>1.2940041830062099</c:v>
                </c:pt>
                <c:pt idx="90">
                  <c:v>1.2614678316522201</c:v>
                </c:pt>
                <c:pt idx="91">
                  <c:v>1.2162356329047499</c:v>
                </c:pt>
                <c:pt idx="92">
                  <c:v>1.16115086618286</c:v>
                </c:pt>
                <c:pt idx="93">
                  <c:v>1.1368661109448099</c:v>
                </c:pt>
                <c:pt idx="94">
                  <c:v>1.1141169578166601</c:v>
                </c:pt>
                <c:pt idx="95">
                  <c:v>1.1064597316646001</c:v>
                </c:pt>
                <c:pt idx="96">
                  <c:v>1.0909545519678301</c:v>
                </c:pt>
                <c:pt idx="97">
                  <c:v>1.0671881301786801</c:v>
                </c:pt>
                <c:pt idx="98">
                  <c:v>1.04683107855511</c:v>
                </c:pt>
                <c:pt idx="99">
                  <c:v>1.0325459342809999</c:v>
                </c:pt>
                <c:pt idx="100">
                  <c:v>1.07064753420736</c:v>
                </c:pt>
                <c:pt idx="101">
                  <c:v>1.1251467905616399</c:v>
                </c:pt>
                <c:pt idx="102">
                  <c:v>1.2372833153285301</c:v>
                </c:pt>
                <c:pt idx="103">
                  <c:v>1.3501900301963601</c:v>
                </c:pt>
                <c:pt idx="104">
                  <c:v>1.49075999188088</c:v>
                </c:pt>
                <c:pt idx="105">
                  <c:v>1.61204915516202</c:v>
                </c:pt>
                <c:pt idx="106">
                  <c:v>1.7063677240838899</c:v>
                </c:pt>
                <c:pt idx="107">
                  <c:v>1.7657266262267499</c:v>
                </c:pt>
                <c:pt idx="108">
                  <c:v>1.8137544557254801</c:v>
                </c:pt>
                <c:pt idx="109">
                  <c:v>1.85673185731642</c:v>
                </c:pt>
                <c:pt idx="110">
                  <c:v>1.90168425576558</c:v>
                </c:pt>
                <c:pt idx="111">
                  <c:v>1.9507010587984599</c:v>
                </c:pt>
                <c:pt idx="112">
                  <c:v>2.05148239308767</c:v>
                </c:pt>
                <c:pt idx="113">
                  <c:v>2.18130132048642</c:v>
                </c:pt>
                <c:pt idx="114">
                  <c:v>2.2636321188508601</c:v>
                </c:pt>
                <c:pt idx="115">
                  <c:v>2.3947666635734701</c:v>
                </c:pt>
                <c:pt idx="116">
                  <c:v>2.4140038898101501</c:v>
                </c:pt>
                <c:pt idx="117">
                  <c:v>2.4540561740878899</c:v>
                </c:pt>
                <c:pt idx="118">
                  <c:v>2.4943684015262599</c:v>
                </c:pt>
                <c:pt idx="119">
                  <c:v>2.52953490801141</c:v>
                </c:pt>
                <c:pt idx="120">
                  <c:v>2.6306625924085298</c:v>
                </c:pt>
                <c:pt idx="121">
                  <c:v>2.6578597503072801</c:v>
                </c:pt>
                <c:pt idx="122">
                  <c:v>2.7166914606425698</c:v>
                </c:pt>
                <c:pt idx="123">
                  <c:v>2.7806824665713501</c:v>
                </c:pt>
                <c:pt idx="124">
                  <c:v>2.6863834890668401</c:v>
                </c:pt>
                <c:pt idx="125">
                  <c:v>2.53524061996192</c:v>
                </c:pt>
                <c:pt idx="126">
                  <c:v>2.3737821143648001</c:v>
                </c:pt>
                <c:pt idx="127">
                  <c:v>2.1690011131831701</c:v>
                </c:pt>
                <c:pt idx="128">
                  <c:v>2.03077342611962</c:v>
                </c:pt>
                <c:pt idx="129">
                  <c:v>1.8793476474228401</c:v>
                </c:pt>
                <c:pt idx="130">
                  <c:v>1.7301259804306801</c:v>
                </c:pt>
                <c:pt idx="131">
                  <c:v>1.6049458248188999</c:v>
                </c:pt>
                <c:pt idx="132">
                  <c:v>1.4246741622735499</c:v>
                </c:pt>
                <c:pt idx="133">
                  <c:v>1.3429127376185499</c:v>
                </c:pt>
                <c:pt idx="134">
                  <c:v>1.2572479505622101</c:v>
                </c:pt>
                <c:pt idx="135">
                  <c:v>1.1431662016041599</c:v>
                </c:pt>
                <c:pt idx="136">
                  <c:v>1.0830048310937299</c:v>
                </c:pt>
                <c:pt idx="137">
                  <c:v>1.0603714058370599</c:v>
                </c:pt>
                <c:pt idx="138">
                  <c:v>1.02890799066202</c:v>
                </c:pt>
                <c:pt idx="139">
                  <c:v>0.97559643932832496</c:v>
                </c:pt>
                <c:pt idx="140">
                  <c:v>0.91993749107802203</c:v>
                </c:pt>
                <c:pt idx="141">
                  <c:v>0.86887018310346598</c:v>
                </c:pt>
                <c:pt idx="142">
                  <c:v>0.83082743305689499</c:v>
                </c:pt>
                <c:pt idx="143">
                  <c:v>0.80481397652794495</c:v>
                </c:pt>
                <c:pt idx="144">
                  <c:v>0.77499789644655304</c:v>
                </c:pt>
                <c:pt idx="145">
                  <c:v>0.75855230372859805</c:v>
                </c:pt>
                <c:pt idx="146">
                  <c:v>0.73008989450365702</c:v>
                </c:pt>
                <c:pt idx="147">
                  <c:v>0.69833254527294197</c:v>
                </c:pt>
                <c:pt idx="148">
                  <c:v>0.71701712472195001</c:v>
                </c:pt>
                <c:pt idx="149">
                  <c:v>0.72415330339719097</c:v>
                </c:pt>
                <c:pt idx="150">
                  <c:v>0.73880396841242002</c:v>
                </c:pt>
                <c:pt idx="151">
                  <c:v>0.74005446600898495</c:v>
                </c:pt>
                <c:pt idx="152">
                  <c:v>0.76851535039845997</c:v>
                </c:pt>
                <c:pt idx="153">
                  <c:v>0.79644947213703998</c:v>
                </c:pt>
                <c:pt idx="154">
                  <c:v>0.821977152452533</c:v>
                </c:pt>
                <c:pt idx="155">
                  <c:v>0.84756556972187103</c:v>
                </c:pt>
                <c:pt idx="156">
                  <c:v>0.87396023107780796</c:v>
                </c:pt>
                <c:pt idx="157">
                  <c:v>0.93776378838984997</c:v>
                </c:pt>
                <c:pt idx="158">
                  <c:v>0.98714337723231205</c:v>
                </c:pt>
                <c:pt idx="159">
                  <c:v>1.03978155646485</c:v>
                </c:pt>
                <c:pt idx="160">
                  <c:v>1.0731313954181601</c:v>
                </c:pt>
                <c:pt idx="161">
                  <c:v>1.10573585310398</c:v>
                </c:pt>
                <c:pt idx="162">
                  <c:v>1.1298949741725699</c:v>
                </c:pt>
                <c:pt idx="163">
                  <c:v>1.1779233048234901</c:v>
                </c:pt>
                <c:pt idx="164">
                  <c:v>1.2160763693979399</c:v>
                </c:pt>
                <c:pt idx="165">
                  <c:v>1.2656716369644401</c:v>
                </c:pt>
                <c:pt idx="166">
                  <c:v>1.3033783816113</c:v>
                </c:pt>
                <c:pt idx="167">
                  <c:v>1.3258382360971299</c:v>
                </c:pt>
                <c:pt idx="168">
                  <c:v>1.36640870457798</c:v>
                </c:pt>
                <c:pt idx="169">
                  <c:v>1.3875467668732899</c:v>
                </c:pt>
                <c:pt idx="170">
                  <c:v>1.41566415954624</c:v>
                </c:pt>
                <c:pt idx="171">
                  <c:v>1.4379203807243099</c:v>
                </c:pt>
                <c:pt idx="172">
                  <c:v>1.3910398323392099</c:v>
                </c:pt>
                <c:pt idx="173">
                  <c:v>1.3463686734383</c:v>
                </c:pt>
                <c:pt idx="174">
                  <c:v>1.3050452509527599</c:v>
                </c:pt>
                <c:pt idx="175">
                  <c:v>1.2628275685536701</c:v>
                </c:pt>
                <c:pt idx="176">
                  <c:v>1.22792553650819</c:v>
                </c:pt>
                <c:pt idx="177">
                  <c:v>1.17257296843577</c:v>
                </c:pt>
                <c:pt idx="178">
                  <c:v>1.14414946193038</c:v>
                </c:pt>
                <c:pt idx="179">
                  <c:v>1.1292952439488699</c:v>
                </c:pt>
                <c:pt idx="180">
                  <c:v>1.1031369979582899</c:v>
                </c:pt>
                <c:pt idx="181">
                  <c:v>1.08298225452652</c:v>
                </c:pt>
                <c:pt idx="182">
                  <c:v>1.05887926853845</c:v>
                </c:pt>
                <c:pt idx="183">
                  <c:v>1.0345985834957301</c:v>
                </c:pt>
                <c:pt idx="184">
                  <c:v>1.06907030637134</c:v>
                </c:pt>
                <c:pt idx="185">
                  <c:v>1.12194030516545</c:v>
                </c:pt>
                <c:pt idx="186">
                  <c:v>1.18384647781351</c:v>
                </c:pt>
                <c:pt idx="187">
                  <c:v>1.2362519126799201</c:v>
                </c:pt>
                <c:pt idx="188">
                  <c:v>1.30275252516367</c:v>
                </c:pt>
                <c:pt idx="189">
                  <c:v>1.3900113004919501</c:v>
                </c:pt>
                <c:pt idx="190">
                  <c:v>1.4812237075825301</c:v>
                </c:pt>
                <c:pt idx="191">
                  <c:v>1.5853341148665101</c:v>
                </c:pt>
                <c:pt idx="192">
                  <c:v>1.70124709904331</c:v>
                </c:pt>
                <c:pt idx="193">
                  <c:v>1.8144338531742701</c:v>
                </c:pt>
                <c:pt idx="194">
                  <c:v>1.9160856443459799</c:v>
                </c:pt>
                <c:pt idx="195">
                  <c:v>1.9660275310987201</c:v>
                </c:pt>
                <c:pt idx="196">
                  <c:v>2.03780513325222</c:v>
                </c:pt>
                <c:pt idx="197">
                  <c:v>2.1091433771283499</c:v>
                </c:pt>
                <c:pt idx="198">
                  <c:v>2.1731076587654998</c:v>
                </c:pt>
                <c:pt idx="199">
                  <c:v>2.22004697459225</c:v>
                </c:pt>
                <c:pt idx="200">
                  <c:v>2.2383622848577001</c:v>
                </c:pt>
                <c:pt idx="201">
                  <c:v>2.2297579204459499</c:v>
                </c:pt>
                <c:pt idx="202">
                  <c:v>2.2093788600229902</c:v>
                </c:pt>
                <c:pt idx="203">
                  <c:v>2.1577899794460502</c:v>
                </c:pt>
                <c:pt idx="204">
                  <c:v>2.09939380858268</c:v>
                </c:pt>
                <c:pt idx="205">
                  <c:v>2.0410169620499299</c:v>
                </c:pt>
                <c:pt idx="206">
                  <c:v>1.9941451685678</c:v>
                </c:pt>
                <c:pt idx="207">
                  <c:v>1.99015230980808</c:v>
                </c:pt>
                <c:pt idx="208">
                  <c:v>1.95544889627459</c:v>
                </c:pt>
                <c:pt idx="209">
                  <c:v>1.89469602989359</c:v>
                </c:pt>
                <c:pt idx="210">
                  <c:v>1.82899623226829</c:v>
                </c:pt>
                <c:pt idx="211">
                  <c:v>1.7863394365001</c:v>
                </c:pt>
                <c:pt idx="212">
                  <c:v>1.7666874325850299</c:v>
                </c:pt>
                <c:pt idx="213">
                  <c:v>1.74654083610379</c:v>
                </c:pt>
                <c:pt idx="214">
                  <c:v>1.76723941743988</c:v>
                </c:pt>
                <c:pt idx="215">
                  <c:v>1.7717396747141001</c:v>
                </c:pt>
                <c:pt idx="216">
                  <c:v>1.7729031145505101</c:v>
                </c:pt>
                <c:pt idx="217">
                  <c:v>1.7894737067633699</c:v>
                </c:pt>
                <c:pt idx="218">
                  <c:v>1.7834557843716401</c:v>
                </c:pt>
                <c:pt idx="219">
                  <c:v>1.7875482083355001</c:v>
                </c:pt>
                <c:pt idx="220">
                  <c:v>1.7990553058279299</c:v>
                </c:pt>
                <c:pt idx="221">
                  <c:v>1.8671159162700299</c:v>
                </c:pt>
                <c:pt idx="222">
                  <c:v>1.91852306728338</c:v>
                </c:pt>
                <c:pt idx="223">
                  <c:v>1.9689403964107399</c:v>
                </c:pt>
                <c:pt idx="224">
                  <c:v>2.03433205793853</c:v>
                </c:pt>
                <c:pt idx="225">
                  <c:v>2.0827294059613299</c:v>
                </c:pt>
                <c:pt idx="226">
                  <c:v>2.11203926012612</c:v>
                </c:pt>
                <c:pt idx="227">
                  <c:v>2.1587565156257198</c:v>
                </c:pt>
                <c:pt idx="228">
                  <c:v>2.2043720659899901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5-41F1-A42C-635ECF607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59808"/>
        <c:axId val="-1236762528"/>
      </c:lineChart>
      <c:dateAx>
        <c:axId val="-1236759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62528"/>
        <c:crosses val="autoZero"/>
        <c:auto val="1"/>
        <c:lblOffset val="100"/>
        <c:baseTimeUnit val="months"/>
      </c:dateAx>
      <c:valAx>
        <c:axId val="-12367625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spread_g!$E$1</c:f>
              <c:strCache>
                <c:ptCount val="1"/>
                <c:pt idx="0">
                  <c:v>Top组中位数-Bottom组中位数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spread_g!$A$2:$A$300</c:f>
              <c:numCache>
                <c:formatCode>m/d/yyyy</c:formatCode>
                <c:ptCount val="299"/>
                <c:pt idx="0">
                  <c:v>39082</c:v>
                </c:pt>
                <c:pt idx="1">
                  <c:v>39113</c:v>
                </c:pt>
                <c:pt idx="2">
                  <c:v>39141</c:v>
                </c:pt>
                <c:pt idx="3">
                  <c:v>39172</c:v>
                </c:pt>
                <c:pt idx="4">
                  <c:v>39202</c:v>
                </c:pt>
                <c:pt idx="5">
                  <c:v>39233</c:v>
                </c:pt>
                <c:pt idx="6">
                  <c:v>39263</c:v>
                </c:pt>
                <c:pt idx="7">
                  <c:v>39294</c:v>
                </c:pt>
                <c:pt idx="8">
                  <c:v>39325</c:v>
                </c:pt>
                <c:pt idx="9">
                  <c:v>39355</c:v>
                </c:pt>
                <c:pt idx="10">
                  <c:v>39386</c:v>
                </c:pt>
                <c:pt idx="11">
                  <c:v>39416</c:v>
                </c:pt>
                <c:pt idx="12">
                  <c:v>39447</c:v>
                </c:pt>
                <c:pt idx="13">
                  <c:v>39478</c:v>
                </c:pt>
                <c:pt idx="14">
                  <c:v>39507</c:v>
                </c:pt>
                <c:pt idx="15">
                  <c:v>39538</c:v>
                </c:pt>
                <c:pt idx="16">
                  <c:v>39568</c:v>
                </c:pt>
                <c:pt idx="17">
                  <c:v>39599</c:v>
                </c:pt>
                <c:pt idx="18">
                  <c:v>39629</c:v>
                </c:pt>
                <c:pt idx="19">
                  <c:v>39660</c:v>
                </c:pt>
                <c:pt idx="20">
                  <c:v>39691</c:v>
                </c:pt>
                <c:pt idx="21">
                  <c:v>39721</c:v>
                </c:pt>
                <c:pt idx="22">
                  <c:v>39752</c:v>
                </c:pt>
                <c:pt idx="23">
                  <c:v>39782</c:v>
                </c:pt>
                <c:pt idx="24">
                  <c:v>39813</c:v>
                </c:pt>
                <c:pt idx="25">
                  <c:v>39844</c:v>
                </c:pt>
                <c:pt idx="26">
                  <c:v>39872</c:v>
                </c:pt>
                <c:pt idx="27">
                  <c:v>39903</c:v>
                </c:pt>
                <c:pt idx="28">
                  <c:v>39933</c:v>
                </c:pt>
                <c:pt idx="29">
                  <c:v>39964</c:v>
                </c:pt>
                <c:pt idx="30">
                  <c:v>39994</c:v>
                </c:pt>
                <c:pt idx="31">
                  <c:v>40025</c:v>
                </c:pt>
                <c:pt idx="32">
                  <c:v>40056</c:v>
                </c:pt>
                <c:pt idx="33">
                  <c:v>40086</c:v>
                </c:pt>
                <c:pt idx="34">
                  <c:v>40117</c:v>
                </c:pt>
                <c:pt idx="35">
                  <c:v>40147</c:v>
                </c:pt>
                <c:pt idx="36">
                  <c:v>40178</c:v>
                </c:pt>
                <c:pt idx="37">
                  <c:v>40209</c:v>
                </c:pt>
                <c:pt idx="38">
                  <c:v>40237</c:v>
                </c:pt>
                <c:pt idx="39">
                  <c:v>40268</c:v>
                </c:pt>
                <c:pt idx="40">
                  <c:v>40298</c:v>
                </c:pt>
                <c:pt idx="41">
                  <c:v>40329</c:v>
                </c:pt>
                <c:pt idx="42">
                  <c:v>40359</c:v>
                </c:pt>
                <c:pt idx="43">
                  <c:v>40390</c:v>
                </c:pt>
                <c:pt idx="44">
                  <c:v>40421</c:v>
                </c:pt>
                <c:pt idx="45">
                  <c:v>40451</c:v>
                </c:pt>
                <c:pt idx="46">
                  <c:v>40482</c:v>
                </c:pt>
                <c:pt idx="47">
                  <c:v>40512</c:v>
                </c:pt>
                <c:pt idx="48">
                  <c:v>40543</c:v>
                </c:pt>
                <c:pt idx="49">
                  <c:v>40574</c:v>
                </c:pt>
                <c:pt idx="50">
                  <c:v>40602</c:v>
                </c:pt>
                <c:pt idx="51">
                  <c:v>40633</c:v>
                </c:pt>
                <c:pt idx="52">
                  <c:v>40663</c:v>
                </c:pt>
                <c:pt idx="53">
                  <c:v>40694</c:v>
                </c:pt>
                <c:pt idx="54">
                  <c:v>40724</c:v>
                </c:pt>
                <c:pt idx="55">
                  <c:v>40755</c:v>
                </c:pt>
                <c:pt idx="56">
                  <c:v>40786</c:v>
                </c:pt>
                <c:pt idx="57">
                  <c:v>40816</c:v>
                </c:pt>
                <c:pt idx="58">
                  <c:v>40847</c:v>
                </c:pt>
                <c:pt idx="59">
                  <c:v>40877</c:v>
                </c:pt>
                <c:pt idx="60">
                  <c:v>40908</c:v>
                </c:pt>
                <c:pt idx="61">
                  <c:v>40939</c:v>
                </c:pt>
                <c:pt idx="62">
                  <c:v>40968</c:v>
                </c:pt>
                <c:pt idx="63">
                  <c:v>40999</c:v>
                </c:pt>
                <c:pt idx="64">
                  <c:v>41029</c:v>
                </c:pt>
                <c:pt idx="65">
                  <c:v>41060</c:v>
                </c:pt>
                <c:pt idx="66">
                  <c:v>41090</c:v>
                </c:pt>
                <c:pt idx="67">
                  <c:v>41121</c:v>
                </c:pt>
                <c:pt idx="68">
                  <c:v>41152</c:v>
                </c:pt>
                <c:pt idx="69">
                  <c:v>41182</c:v>
                </c:pt>
                <c:pt idx="70">
                  <c:v>41213</c:v>
                </c:pt>
                <c:pt idx="71">
                  <c:v>41243</c:v>
                </c:pt>
                <c:pt idx="72">
                  <c:v>41274</c:v>
                </c:pt>
                <c:pt idx="73">
                  <c:v>41305</c:v>
                </c:pt>
                <c:pt idx="74">
                  <c:v>41333</c:v>
                </c:pt>
                <c:pt idx="75">
                  <c:v>41364</c:v>
                </c:pt>
                <c:pt idx="76">
                  <c:v>41394</c:v>
                </c:pt>
                <c:pt idx="77">
                  <c:v>41425</c:v>
                </c:pt>
                <c:pt idx="78">
                  <c:v>41455</c:v>
                </c:pt>
                <c:pt idx="79">
                  <c:v>41486</c:v>
                </c:pt>
                <c:pt idx="80">
                  <c:v>41517</c:v>
                </c:pt>
                <c:pt idx="81">
                  <c:v>41547</c:v>
                </c:pt>
                <c:pt idx="82">
                  <c:v>41578</c:v>
                </c:pt>
                <c:pt idx="83">
                  <c:v>41608</c:v>
                </c:pt>
                <c:pt idx="84">
                  <c:v>41639</c:v>
                </c:pt>
                <c:pt idx="85">
                  <c:v>41670</c:v>
                </c:pt>
                <c:pt idx="86">
                  <c:v>41698</c:v>
                </c:pt>
                <c:pt idx="87">
                  <c:v>41729</c:v>
                </c:pt>
                <c:pt idx="88">
                  <c:v>41759</c:v>
                </c:pt>
                <c:pt idx="89">
                  <c:v>41790</c:v>
                </c:pt>
                <c:pt idx="90">
                  <c:v>41820</c:v>
                </c:pt>
                <c:pt idx="91">
                  <c:v>41851</c:v>
                </c:pt>
                <c:pt idx="92">
                  <c:v>41882</c:v>
                </c:pt>
                <c:pt idx="93">
                  <c:v>41912</c:v>
                </c:pt>
                <c:pt idx="94">
                  <c:v>41943</c:v>
                </c:pt>
                <c:pt idx="95">
                  <c:v>41973</c:v>
                </c:pt>
                <c:pt idx="96">
                  <c:v>42004</c:v>
                </c:pt>
                <c:pt idx="97">
                  <c:v>42035</c:v>
                </c:pt>
                <c:pt idx="98">
                  <c:v>42063</c:v>
                </c:pt>
                <c:pt idx="99">
                  <c:v>42094</c:v>
                </c:pt>
                <c:pt idx="100">
                  <c:v>42124</c:v>
                </c:pt>
                <c:pt idx="101">
                  <c:v>42155</c:v>
                </c:pt>
                <c:pt idx="102">
                  <c:v>42185</c:v>
                </c:pt>
                <c:pt idx="103">
                  <c:v>42216</c:v>
                </c:pt>
                <c:pt idx="104">
                  <c:v>42247</c:v>
                </c:pt>
                <c:pt idx="105">
                  <c:v>42277</c:v>
                </c:pt>
                <c:pt idx="106">
                  <c:v>42308</c:v>
                </c:pt>
                <c:pt idx="107">
                  <c:v>42338</c:v>
                </c:pt>
                <c:pt idx="108">
                  <c:v>42369</c:v>
                </c:pt>
                <c:pt idx="109">
                  <c:v>42400</c:v>
                </c:pt>
                <c:pt idx="110">
                  <c:v>42429</c:v>
                </c:pt>
                <c:pt idx="111">
                  <c:v>42460</c:v>
                </c:pt>
                <c:pt idx="112">
                  <c:v>42490</c:v>
                </c:pt>
                <c:pt idx="113">
                  <c:v>42521</c:v>
                </c:pt>
                <c:pt idx="114">
                  <c:v>42551</c:v>
                </c:pt>
                <c:pt idx="115">
                  <c:v>42582</c:v>
                </c:pt>
                <c:pt idx="116">
                  <c:v>42613</c:v>
                </c:pt>
                <c:pt idx="117">
                  <c:v>42643</c:v>
                </c:pt>
                <c:pt idx="118">
                  <c:v>42674</c:v>
                </c:pt>
                <c:pt idx="119">
                  <c:v>42704</c:v>
                </c:pt>
                <c:pt idx="120">
                  <c:v>42735</c:v>
                </c:pt>
                <c:pt idx="121">
                  <c:v>42766</c:v>
                </c:pt>
                <c:pt idx="122">
                  <c:v>42794</c:v>
                </c:pt>
                <c:pt idx="123">
                  <c:v>42825</c:v>
                </c:pt>
                <c:pt idx="124">
                  <c:v>42855</c:v>
                </c:pt>
                <c:pt idx="125">
                  <c:v>42886</c:v>
                </c:pt>
                <c:pt idx="126">
                  <c:v>42916</c:v>
                </c:pt>
                <c:pt idx="127">
                  <c:v>42947</c:v>
                </c:pt>
                <c:pt idx="128">
                  <c:v>42978</c:v>
                </c:pt>
                <c:pt idx="129">
                  <c:v>43008</c:v>
                </c:pt>
                <c:pt idx="130">
                  <c:v>43039</c:v>
                </c:pt>
                <c:pt idx="131">
                  <c:v>43069</c:v>
                </c:pt>
                <c:pt idx="132">
                  <c:v>43100</c:v>
                </c:pt>
                <c:pt idx="133">
                  <c:v>43131</c:v>
                </c:pt>
                <c:pt idx="134">
                  <c:v>43159</c:v>
                </c:pt>
                <c:pt idx="135">
                  <c:v>43190</c:v>
                </c:pt>
                <c:pt idx="136">
                  <c:v>43220</c:v>
                </c:pt>
                <c:pt idx="137">
                  <c:v>43251</c:v>
                </c:pt>
                <c:pt idx="138">
                  <c:v>43281</c:v>
                </c:pt>
                <c:pt idx="139">
                  <c:v>43312</c:v>
                </c:pt>
                <c:pt idx="140">
                  <c:v>43343</c:v>
                </c:pt>
                <c:pt idx="141">
                  <c:v>43373</c:v>
                </c:pt>
                <c:pt idx="142">
                  <c:v>43404</c:v>
                </c:pt>
                <c:pt idx="143">
                  <c:v>43434</c:v>
                </c:pt>
                <c:pt idx="144">
                  <c:v>43465</c:v>
                </c:pt>
                <c:pt idx="145">
                  <c:v>43496</c:v>
                </c:pt>
                <c:pt idx="146">
                  <c:v>43524</c:v>
                </c:pt>
                <c:pt idx="147">
                  <c:v>43555</c:v>
                </c:pt>
                <c:pt idx="148">
                  <c:v>43585</c:v>
                </c:pt>
                <c:pt idx="149">
                  <c:v>43616</c:v>
                </c:pt>
                <c:pt idx="150">
                  <c:v>43646</c:v>
                </c:pt>
                <c:pt idx="151">
                  <c:v>43677</c:v>
                </c:pt>
                <c:pt idx="152">
                  <c:v>43708</c:v>
                </c:pt>
                <c:pt idx="153">
                  <c:v>43738</c:v>
                </c:pt>
                <c:pt idx="154">
                  <c:v>43769</c:v>
                </c:pt>
                <c:pt idx="155">
                  <c:v>43799</c:v>
                </c:pt>
                <c:pt idx="156">
                  <c:v>43830</c:v>
                </c:pt>
                <c:pt idx="157">
                  <c:v>43861</c:v>
                </c:pt>
                <c:pt idx="158">
                  <c:v>43890</c:v>
                </c:pt>
                <c:pt idx="159">
                  <c:v>43921</c:v>
                </c:pt>
                <c:pt idx="160">
                  <c:v>43951</c:v>
                </c:pt>
                <c:pt idx="161">
                  <c:v>43982</c:v>
                </c:pt>
                <c:pt idx="162">
                  <c:v>44012</c:v>
                </c:pt>
                <c:pt idx="163">
                  <c:v>44043</c:v>
                </c:pt>
                <c:pt idx="164">
                  <c:v>44074</c:v>
                </c:pt>
                <c:pt idx="165">
                  <c:v>44104</c:v>
                </c:pt>
                <c:pt idx="166">
                  <c:v>44135</c:v>
                </c:pt>
                <c:pt idx="167">
                  <c:v>44165</c:v>
                </c:pt>
                <c:pt idx="168">
                  <c:v>44196</c:v>
                </c:pt>
                <c:pt idx="169">
                  <c:v>44227</c:v>
                </c:pt>
                <c:pt idx="170">
                  <c:v>44255</c:v>
                </c:pt>
                <c:pt idx="171">
                  <c:v>44286</c:v>
                </c:pt>
                <c:pt idx="172">
                  <c:v>44316</c:v>
                </c:pt>
                <c:pt idx="173">
                  <c:v>44347</c:v>
                </c:pt>
                <c:pt idx="174">
                  <c:v>44377</c:v>
                </c:pt>
                <c:pt idx="175">
                  <c:v>44408</c:v>
                </c:pt>
                <c:pt idx="176">
                  <c:v>44439</c:v>
                </c:pt>
                <c:pt idx="177">
                  <c:v>44469</c:v>
                </c:pt>
                <c:pt idx="178">
                  <c:v>44500</c:v>
                </c:pt>
                <c:pt idx="179">
                  <c:v>44530</c:v>
                </c:pt>
                <c:pt idx="180">
                  <c:v>44561</c:v>
                </c:pt>
                <c:pt idx="181">
                  <c:v>44592</c:v>
                </c:pt>
                <c:pt idx="182">
                  <c:v>44620</c:v>
                </c:pt>
                <c:pt idx="183">
                  <c:v>44651</c:v>
                </c:pt>
                <c:pt idx="184">
                  <c:v>44681</c:v>
                </c:pt>
                <c:pt idx="185">
                  <c:v>44712</c:v>
                </c:pt>
                <c:pt idx="186">
                  <c:v>44742</c:v>
                </c:pt>
                <c:pt idx="187">
                  <c:v>44773</c:v>
                </c:pt>
                <c:pt idx="188">
                  <c:v>44804</c:v>
                </c:pt>
                <c:pt idx="189">
                  <c:v>44834</c:v>
                </c:pt>
                <c:pt idx="190">
                  <c:v>44865</c:v>
                </c:pt>
                <c:pt idx="191">
                  <c:v>44895</c:v>
                </c:pt>
                <c:pt idx="192">
                  <c:v>44926</c:v>
                </c:pt>
                <c:pt idx="193">
                  <c:v>44957</c:v>
                </c:pt>
                <c:pt idx="194">
                  <c:v>44985</c:v>
                </c:pt>
                <c:pt idx="195">
                  <c:v>45016</c:v>
                </c:pt>
                <c:pt idx="196">
                  <c:v>45046</c:v>
                </c:pt>
                <c:pt idx="197">
                  <c:v>45077</c:v>
                </c:pt>
                <c:pt idx="198">
                  <c:v>45107</c:v>
                </c:pt>
                <c:pt idx="199">
                  <c:v>45138</c:v>
                </c:pt>
                <c:pt idx="200">
                  <c:v>45169</c:v>
                </c:pt>
                <c:pt idx="201">
                  <c:v>45199</c:v>
                </c:pt>
                <c:pt idx="202">
                  <c:v>45230</c:v>
                </c:pt>
                <c:pt idx="203">
                  <c:v>45260</c:v>
                </c:pt>
                <c:pt idx="204">
                  <c:v>45291</c:v>
                </c:pt>
                <c:pt idx="205">
                  <c:v>45322</c:v>
                </c:pt>
                <c:pt idx="206">
                  <c:v>45351</c:v>
                </c:pt>
                <c:pt idx="207">
                  <c:v>45382</c:v>
                </c:pt>
                <c:pt idx="208">
                  <c:v>45412</c:v>
                </c:pt>
                <c:pt idx="209">
                  <c:v>45443</c:v>
                </c:pt>
                <c:pt idx="210">
                  <c:v>45473</c:v>
                </c:pt>
                <c:pt idx="211">
                  <c:v>45504</c:v>
                </c:pt>
                <c:pt idx="212">
                  <c:v>45535</c:v>
                </c:pt>
                <c:pt idx="213">
                  <c:v>45565</c:v>
                </c:pt>
                <c:pt idx="214">
                  <c:v>45596</c:v>
                </c:pt>
                <c:pt idx="215">
                  <c:v>45626</c:v>
                </c:pt>
                <c:pt idx="216">
                  <c:v>45657</c:v>
                </c:pt>
                <c:pt idx="217">
                  <c:v>45688</c:v>
                </c:pt>
                <c:pt idx="218">
                  <c:v>45716</c:v>
                </c:pt>
                <c:pt idx="219">
                  <c:v>45747</c:v>
                </c:pt>
                <c:pt idx="220">
                  <c:v>45777</c:v>
                </c:pt>
                <c:pt idx="221">
                  <c:v>45808</c:v>
                </c:pt>
                <c:pt idx="222">
                  <c:v>45838</c:v>
                </c:pt>
                <c:pt idx="223">
                  <c:v>45869</c:v>
                </c:pt>
                <c:pt idx="224">
                  <c:v>45900</c:v>
                </c:pt>
                <c:pt idx="225">
                  <c:v>45930</c:v>
                </c:pt>
                <c:pt idx="226">
                  <c:v>45961</c:v>
                </c:pt>
                <c:pt idx="227">
                  <c:v>45991</c:v>
                </c:pt>
                <c:pt idx="228">
                  <c:v>46022</c:v>
                </c:pt>
              </c:numCache>
            </c:numRef>
          </c:cat>
          <c:val>
            <c:numRef>
              <c:f>spread_g!$E$2:$E$300</c:f>
              <c:numCache>
                <c:formatCode>0%</c:formatCode>
                <c:ptCount val="299"/>
                <c:pt idx="0">
                  <c:v>2.1740862304253699</c:v>
                </c:pt>
                <c:pt idx="1">
                  <c:v>2.1740862304253699</c:v>
                </c:pt>
                <c:pt idx="2">
                  <c:v>2.1740862304253699</c:v>
                </c:pt>
                <c:pt idx="3">
                  <c:v>2.3844465703984201</c:v>
                </c:pt>
                <c:pt idx="4">
                  <c:v>3.11356339375835</c:v>
                </c:pt>
                <c:pt idx="5">
                  <c:v>3.6111688436654701</c:v>
                </c:pt>
                <c:pt idx="6">
                  <c:v>3.93680047508427</c:v>
                </c:pt>
                <c:pt idx="7">
                  <c:v>3.8940933382690899</c:v>
                </c:pt>
                <c:pt idx="8">
                  <c:v>4.0741005415762599</c:v>
                </c:pt>
                <c:pt idx="9">
                  <c:v>4.4736011440590699</c:v>
                </c:pt>
                <c:pt idx="10">
                  <c:v>4.8004919471201601</c:v>
                </c:pt>
                <c:pt idx="11">
                  <c:v>5.1547761304148496</c:v>
                </c:pt>
                <c:pt idx="12">
                  <c:v>5.28928660256281</c:v>
                </c:pt>
                <c:pt idx="13">
                  <c:v>5.34598915897958</c:v>
                </c:pt>
                <c:pt idx="14">
                  <c:v>5.3328453699780303</c:v>
                </c:pt>
                <c:pt idx="15">
                  <c:v>5.6512174607719698</c:v>
                </c:pt>
                <c:pt idx="16">
                  <c:v>5.0897077436327001</c:v>
                </c:pt>
                <c:pt idx="17">
                  <c:v>4.9612913430150902</c:v>
                </c:pt>
                <c:pt idx="18">
                  <c:v>4.5013590626019901</c:v>
                </c:pt>
                <c:pt idx="19">
                  <c:v>5.0415542951172299</c:v>
                </c:pt>
                <c:pt idx="20">
                  <c:v>4.6492063038052702</c:v>
                </c:pt>
                <c:pt idx="21">
                  <c:v>4.1851258278174299</c:v>
                </c:pt>
                <c:pt idx="22">
                  <c:v>3.6923464949634899</c:v>
                </c:pt>
                <c:pt idx="23">
                  <c:v>3.6490574621543699</c:v>
                </c:pt>
                <c:pt idx="24">
                  <c:v>3.68446454563232</c:v>
                </c:pt>
                <c:pt idx="25">
                  <c:v>3.7580926731867401</c:v>
                </c:pt>
                <c:pt idx="26">
                  <c:v>3.6772707275356602</c:v>
                </c:pt>
                <c:pt idx="27">
                  <c:v>3.5195671458223301</c:v>
                </c:pt>
                <c:pt idx="28">
                  <c:v>2.6951992905722499</c:v>
                </c:pt>
                <c:pt idx="29">
                  <c:v>2.15859473916671</c:v>
                </c:pt>
                <c:pt idx="30">
                  <c:v>1.69704836331526</c:v>
                </c:pt>
                <c:pt idx="31">
                  <c:v>1.81328670075386</c:v>
                </c:pt>
                <c:pt idx="32">
                  <c:v>1.91210067291564</c:v>
                </c:pt>
                <c:pt idx="33">
                  <c:v>2.0099909470005399</c:v>
                </c:pt>
                <c:pt idx="34">
                  <c:v>2.0277108115304801</c:v>
                </c:pt>
                <c:pt idx="35">
                  <c:v>1.960796573471</c:v>
                </c:pt>
                <c:pt idx="36">
                  <c:v>1.9130637035879601</c:v>
                </c:pt>
                <c:pt idx="37">
                  <c:v>1.87103875671247</c:v>
                </c:pt>
                <c:pt idx="38">
                  <c:v>1.86322022743258</c:v>
                </c:pt>
                <c:pt idx="39">
                  <c:v>1.78169212140289</c:v>
                </c:pt>
                <c:pt idx="40">
                  <c:v>2.3116196162989802</c:v>
                </c:pt>
                <c:pt idx="41">
                  <c:v>2.8805866004078</c:v>
                </c:pt>
                <c:pt idx="42">
                  <c:v>3.4998653200638201</c:v>
                </c:pt>
                <c:pt idx="43">
                  <c:v>3.6347541829924199</c:v>
                </c:pt>
                <c:pt idx="44">
                  <c:v>4.0225380153035903</c:v>
                </c:pt>
                <c:pt idx="45">
                  <c:v>4.1627960519355804</c:v>
                </c:pt>
                <c:pt idx="46">
                  <c:v>3.9451731902015501</c:v>
                </c:pt>
                <c:pt idx="47">
                  <c:v>3.46535723115363</c:v>
                </c:pt>
                <c:pt idx="48">
                  <c:v>3.22473164427312</c:v>
                </c:pt>
                <c:pt idx="49">
                  <c:v>3.1073830768208501</c:v>
                </c:pt>
                <c:pt idx="50">
                  <c:v>2.9926532988523502</c:v>
                </c:pt>
                <c:pt idx="51">
                  <c:v>3.3029365636959702</c:v>
                </c:pt>
                <c:pt idx="52">
                  <c:v>2.9497312213307998</c:v>
                </c:pt>
                <c:pt idx="53">
                  <c:v>2.5852720422598301</c:v>
                </c:pt>
                <c:pt idx="54">
                  <c:v>1.76505959051471</c:v>
                </c:pt>
                <c:pt idx="55">
                  <c:v>1.73369134022983</c:v>
                </c:pt>
                <c:pt idx="56">
                  <c:v>1.5825073416986599</c:v>
                </c:pt>
                <c:pt idx="57">
                  <c:v>1.48226283757577</c:v>
                </c:pt>
                <c:pt idx="58">
                  <c:v>1.45506988252406</c:v>
                </c:pt>
                <c:pt idx="59">
                  <c:v>1.5142820926911</c:v>
                </c:pt>
                <c:pt idx="60">
                  <c:v>1.5616304618236101</c:v>
                </c:pt>
                <c:pt idx="61">
                  <c:v>1.50944245504561</c:v>
                </c:pt>
                <c:pt idx="62">
                  <c:v>1.4857487092861199</c:v>
                </c:pt>
                <c:pt idx="63">
                  <c:v>1.32390060317803</c:v>
                </c:pt>
                <c:pt idx="64">
                  <c:v>1.2515274820176501</c:v>
                </c:pt>
                <c:pt idx="65">
                  <c:v>1.1532449691139799</c:v>
                </c:pt>
                <c:pt idx="66">
                  <c:v>1.1867547311103901</c:v>
                </c:pt>
                <c:pt idx="67">
                  <c:v>1.16820716933528</c:v>
                </c:pt>
                <c:pt idx="68">
                  <c:v>1.15315598103815</c:v>
                </c:pt>
                <c:pt idx="69">
                  <c:v>1.14882733780868</c:v>
                </c:pt>
                <c:pt idx="70">
                  <c:v>1.1572242687583001</c:v>
                </c:pt>
                <c:pt idx="71">
                  <c:v>1.17104977881705</c:v>
                </c:pt>
                <c:pt idx="72">
                  <c:v>1.18309225975332</c:v>
                </c:pt>
                <c:pt idx="73">
                  <c:v>1.1910092950831399</c:v>
                </c:pt>
                <c:pt idx="74">
                  <c:v>1.2043665716671601</c:v>
                </c:pt>
                <c:pt idx="75">
                  <c:v>1.19160942100205</c:v>
                </c:pt>
                <c:pt idx="76">
                  <c:v>1.1707421856762299</c:v>
                </c:pt>
                <c:pt idx="77">
                  <c:v>1.2442655523294199</c:v>
                </c:pt>
                <c:pt idx="78">
                  <c:v>1.33839873739243</c:v>
                </c:pt>
                <c:pt idx="79">
                  <c:v>1.43282235845078</c:v>
                </c:pt>
                <c:pt idx="80">
                  <c:v>1.5110111705534699</c:v>
                </c:pt>
                <c:pt idx="81">
                  <c:v>1.5873343528628101</c:v>
                </c:pt>
                <c:pt idx="82">
                  <c:v>1.61123175193405</c:v>
                </c:pt>
                <c:pt idx="83">
                  <c:v>1.5682105065994201</c:v>
                </c:pt>
                <c:pt idx="84">
                  <c:v>1.52998206940077</c:v>
                </c:pt>
                <c:pt idx="85">
                  <c:v>1.5881466642281099</c:v>
                </c:pt>
                <c:pt idx="86">
                  <c:v>1.6235471023813699</c:v>
                </c:pt>
                <c:pt idx="87">
                  <c:v>1.61131982104465</c:v>
                </c:pt>
                <c:pt idx="88">
                  <c:v>1.6334779539411599</c:v>
                </c:pt>
                <c:pt idx="89">
                  <c:v>1.62304558269706</c:v>
                </c:pt>
                <c:pt idx="90">
                  <c:v>1.6542987366778299</c:v>
                </c:pt>
                <c:pt idx="91">
                  <c:v>1.6391541472986499</c:v>
                </c:pt>
                <c:pt idx="92">
                  <c:v>1.6946113688431901</c:v>
                </c:pt>
                <c:pt idx="93">
                  <c:v>1.6326415186632099</c:v>
                </c:pt>
                <c:pt idx="94">
                  <c:v>1.5814389255125301</c:v>
                </c:pt>
                <c:pt idx="95">
                  <c:v>1.5196703979530699</c:v>
                </c:pt>
                <c:pt idx="96">
                  <c:v>1.5812711363832499</c:v>
                </c:pt>
                <c:pt idx="97">
                  <c:v>1.5910548087123</c:v>
                </c:pt>
                <c:pt idx="98">
                  <c:v>1.6224832758965499</c:v>
                </c:pt>
                <c:pt idx="99">
                  <c:v>1.56695981183731</c:v>
                </c:pt>
                <c:pt idx="100">
                  <c:v>1.47376100490752</c:v>
                </c:pt>
                <c:pt idx="101">
                  <c:v>1.38526191800117</c:v>
                </c:pt>
                <c:pt idx="102">
                  <c:v>1.37520370209206</c:v>
                </c:pt>
                <c:pt idx="103">
                  <c:v>1.4134066765686399</c:v>
                </c:pt>
                <c:pt idx="104">
                  <c:v>1.4032661619415301</c:v>
                </c:pt>
                <c:pt idx="105">
                  <c:v>1.3806628144436499</c:v>
                </c:pt>
                <c:pt idx="106">
                  <c:v>1.3688869664596299</c:v>
                </c:pt>
                <c:pt idx="107">
                  <c:v>1.4908703227050599</c:v>
                </c:pt>
                <c:pt idx="108">
                  <c:v>1.63382757206749</c:v>
                </c:pt>
                <c:pt idx="109">
                  <c:v>1.7685097446440501</c:v>
                </c:pt>
                <c:pt idx="110">
                  <c:v>1.7229615788118799</c:v>
                </c:pt>
                <c:pt idx="111">
                  <c:v>1.68285628991794</c:v>
                </c:pt>
                <c:pt idx="112">
                  <c:v>1.7155982346562699</c:v>
                </c:pt>
                <c:pt idx="113">
                  <c:v>1.79472066092876</c:v>
                </c:pt>
                <c:pt idx="114">
                  <c:v>1.86840021026301</c:v>
                </c:pt>
                <c:pt idx="115">
                  <c:v>1.8611361395191599</c:v>
                </c:pt>
                <c:pt idx="116">
                  <c:v>1.8553634021684899</c:v>
                </c:pt>
                <c:pt idx="117">
                  <c:v>1.88090743137003</c:v>
                </c:pt>
                <c:pt idx="118">
                  <c:v>1.9378740346799701</c:v>
                </c:pt>
                <c:pt idx="119">
                  <c:v>2.0063612911507001</c:v>
                </c:pt>
                <c:pt idx="120">
                  <c:v>2.0435317810692299</c:v>
                </c:pt>
                <c:pt idx="121">
                  <c:v>2.0596822314909802</c:v>
                </c:pt>
                <c:pt idx="122">
                  <c:v>2.0294935147419402</c:v>
                </c:pt>
                <c:pt idx="123">
                  <c:v>2.03956104571603</c:v>
                </c:pt>
                <c:pt idx="124">
                  <c:v>2.28915220529636</c:v>
                </c:pt>
                <c:pt idx="125">
                  <c:v>3.4130548449342002</c:v>
                </c:pt>
                <c:pt idx="126">
                  <c:v>4.3208496076512102</c:v>
                </c:pt>
                <c:pt idx="127">
                  <c:v>4.9810398600215597</c:v>
                </c:pt>
                <c:pt idx="128">
                  <c:v>4.5710662759108498</c:v>
                </c:pt>
                <c:pt idx="129">
                  <c:v>4.3118436744579203</c:v>
                </c:pt>
                <c:pt idx="130">
                  <c:v>3.9798572315777401</c:v>
                </c:pt>
                <c:pt idx="131">
                  <c:v>3.7753934295138798</c:v>
                </c:pt>
                <c:pt idx="132">
                  <c:v>3.54842375754499</c:v>
                </c:pt>
                <c:pt idx="133">
                  <c:v>3.39999266057796</c:v>
                </c:pt>
                <c:pt idx="134">
                  <c:v>3.39048506612325</c:v>
                </c:pt>
                <c:pt idx="135">
                  <c:v>3.4870077798324601</c:v>
                </c:pt>
                <c:pt idx="136">
                  <c:v>2.9772288495881001</c:v>
                </c:pt>
                <c:pt idx="137">
                  <c:v>2.4000974453206601</c:v>
                </c:pt>
                <c:pt idx="138">
                  <c:v>1.7620357327090299</c:v>
                </c:pt>
                <c:pt idx="139">
                  <c:v>1.6915922685033</c:v>
                </c:pt>
                <c:pt idx="140">
                  <c:v>1.55840225218002</c:v>
                </c:pt>
                <c:pt idx="141">
                  <c:v>1.4330409955343699</c:v>
                </c:pt>
                <c:pt idx="142">
                  <c:v>1.30333737670981</c:v>
                </c:pt>
                <c:pt idx="143">
                  <c:v>1.28315220508241</c:v>
                </c:pt>
                <c:pt idx="144">
                  <c:v>1.2578159201341901</c:v>
                </c:pt>
                <c:pt idx="145">
                  <c:v>1.2755053929125599</c:v>
                </c:pt>
                <c:pt idx="146">
                  <c:v>1.1924895684658501</c:v>
                </c:pt>
                <c:pt idx="147">
                  <c:v>1.15662422713529</c:v>
                </c:pt>
                <c:pt idx="148">
                  <c:v>1.16910941023568</c:v>
                </c:pt>
                <c:pt idx="149">
                  <c:v>1.36565932071403</c:v>
                </c:pt>
                <c:pt idx="150">
                  <c:v>1.5253336372436199</c:v>
                </c:pt>
                <c:pt idx="151">
                  <c:v>1.68455185000818</c:v>
                </c:pt>
                <c:pt idx="152">
                  <c:v>1.6886717433696501</c:v>
                </c:pt>
                <c:pt idx="153">
                  <c:v>1.6697209063821701</c:v>
                </c:pt>
                <c:pt idx="154">
                  <c:v>1.7567144733833999</c:v>
                </c:pt>
                <c:pt idx="155">
                  <c:v>1.8676038652359099</c:v>
                </c:pt>
                <c:pt idx="156">
                  <c:v>1.81448738686225</c:v>
                </c:pt>
                <c:pt idx="157">
                  <c:v>1.60753208383396</c:v>
                </c:pt>
                <c:pt idx="158">
                  <c:v>1.4309015021578</c:v>
                </c:pt>
                <c:pt idx="159">
                  <c:v>1.3751139676392401</c:v>
                </c:pt>
                <c:pt idx="160">
                  <c:v>1.57174408950878</c:v>
                </c:pt>
                <c:pt idx="161">
                  <c:v>1.8336255775803001</c:v>
                </c:pt>
                <c:pt idx="162">
                  <c:v>2.1452435994808101</c:v>
                </c:pt>
                <c:pt idx="163">
                  <c:v>2.1953599547344602</c:v>
                </c:pt>
                <c:pt idx="164">
                  <c:v>2.1863443470217399</c:v>
                </c:pt>
                <c:pt idx="165">
                  <c:v>2.2031914740710601</c:v>
                </c:pt>
                <c:pt idx="166">
                  <c:v>2.3269441792405301</c:v>
                </c:pt>
                <c:pt idx="167">
                  <c:v>2.4811763250940801</c:v>
                </c:pt>
                <c:pt idx="168">
                  <c:v>2.61559673687514</c:v>
                </c:pt>
                <c:pt idx="169">
                  <c:v>2.6521955807948299</c:v>
                </c:pt>
                <c:pt idx="170">
                  <c:v>2.64190069940951</c:v>
                </c:pt>
                <c:pt idx="171">
                  <c:v>2.5854974325940798</c:v>
                </c:pt>
                <c:pt idx="172">
                  <c:v>2.5880385833090802</c:v>
                </c:pt>
                <c:pt idx="173">
                  <c:v>2.7600122965101002</c:v>
                </c:pt>
                <c:pt idx="174">
                  <c:v>3.0076649935652799</c:v>
                </c:pt>
                <c:pt idx="175">
                  <c:v>3.2074480982627902</c:v>
                </c:pt>
                <c:pt idx="176">
                  <c:v>3.3370358732505601</c:v>
                </c:pt>
                <c:pt idx="177">
                  <c:v>3.59694180210984</c:v>
                </c:pt>
                <c:pt idx="178">
                  <c:v>3.5060493600649201</c:v>
                </c:pt>
                <c:pt idx="179">
                  <c:v>3.4630578942960901</c:v>
                </c:pt>
                <c:pt idx="180">
                  <c:v>3.2601776762317098</c:v>
                </c:pt>
                <c:pt idx="181">
                  <c:v>3.3970210038987898</c:v>
                </c:pt>
                <c:pt idx="182">
                  <c:v>3.39260900311305</c:v>
                </c:pt>
                <c:pt idx="183">
                  <c:v>3.3050927106511598</c:v>
                </c:pt>
                <c:pt idx="184">
                  <c:v>2.8814907361959801</c:v>
                </c:pt>
                <c:pt idx="185">
                  <c:v>2.58862197597829</c:v>
                </c:pt>
                <c:pt idx="186">
                  <c:v>2.3398965570475698</c:v>
                </c:pt>
                <c:pt idx="187">
                  <c:v>2.4246054115258602</c:v>
                </c:pt>
                <c:pt idx="188">
                  <c:v>2.29973975291235</c:v>
                </c:pt>
                <c:pt idx="189">
                  <c:v>2.2055644590273902</c:v>
                </c:pt>
                <c:pt idx="190">
                  <c:v>2.0841672543808101</c:v>
                </c:pt>
                <c:pt idx="191">
                  <c:v>2.04257388281696</c:v>
                </c:pt>
                <c:pt idx="192">
                  <c:v>1.9369470246164</c:v>
                </c:pt>
                <c:pt idx="193">
                  <c:v>1.86119348576175</c:v>
                </c:pt>
                <c:pt idx="194">
                  <c:v>1.76576766896186</c:v>
                </c:pt>
                <c:pt idx="195">
                  <c:v>1.7301817198556999</c:v>
                </c:pt>
                <c:pt idx="196">
                  <c:v>1.7392457484174699</c:v>
                </c:pt>
                <c:pt idx="197">
                  <c:v>1.9195318915783199</c:v>
                </c:pt>
                <c:pt idx="198">
                  <c:v>2.1265790471655501</c:v>
                </c:pt>
                <c:pt idx="199">
                  <c:v>2.2743735174045798</c:v>
                </c:pt>
                <c:pt idx="200">
                  <c:v>2.1854984532183801</c:v>
                </c:pt>
                <c:pt idx="201">
                  <c:v>2.0703640858909198</c:v>
                </c:pt>
                <c:pt idx="202">
                  <c:v>1.87023782830588</c:v>
                </c:pt>
                <c:pt idx="203">
                  <c:v>1.8046651943465</c:v>
                </c:pt>
                <c:pt idx="204">
                  <c:v>1.75052351901687</c:v>
                </c:pt>
                <c:pt idx="205">
                  <c:v>1.7929150920061301</c:v>
                </c:pt>
                <c:pt idx="206">
                  <c:v>1.75733965905626</c:v>
                </c:pt>
                <c:pt idx="207">
                  <c:v>1.7318055468034299</c:v>
                </c:pt>
                <c:pt idx="208">
                  <c:v>1.7353569515437599</c:v>
                </c:pt>
                <c:pt idx="209">
                  <c:v>1.7485435299593599</c:v>
                </c:pt>
                <c:pt idx="210">
                  <c:v>1.7451460039900499</c:v>
                </c:pt>
                <c:pt idx="211">
                  <c:v>1.72321708756873</c:v>
                </c:pt>
                <c:pt idx="212">
                  <c:v>1.67768878627152</c:v>
                </c:pt>
                <c:pt idx="213">
                  <c:v>1.6278676938412699</c:v>
                </c:pt>
                <c:pt idx="214">
                  <c:v>1.6101404304451099</c:v>
                </c:pt>
                <c:pt idx="215">
                  <c:v>1.6552808576664799</c:v>
                </c:pt>
                <c:pt idx="216">
                  <c:v>1.71154142738279</c:v>
                </c:pt>
                <c:pt idx="217">
                  <c:v>1.72547760844565</c:v>
                </c:pt>
                <c:pt idx="218">
                  <c:v>1.7224928567337801</c:v>
                </c:pt>
                <c:pt idx="219">
                  <c:v>1.68371539776739</c:v>
                </c:pt>
                <c:pt idx="220">
                  <c:v>1.7628323652654001</c:v>
                </c:pt>
                <c:pt idx="221">
                  <c:v>1.86233522863816</c:v>
                </c:pt>
                <c:pt idx="222">
                  <c:v>1.9978777682801501</c:v>
                </c:pt>
                <c:pt idx="223">
                  <c:v>2.0175325849363999</c:v>
                </c:pt>
                <c:pt idx="224">
                  <c:v>1.9777550482109401</c:v>
                </c:pt>
                <c:pt idx="225">
                  <c:v>1.8676507306038901</c:v>
                </c:pt>
                <c:pt idx="226">
                  <c:v>1.7421272336203399</c:v>
                </c:pt>
                <c:pt idx="227">
                  <c:v>1.67982323634064</c:v>
                </c:pt>
                <c:pt idx="228">
                  <c:v>1.68784601994253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2F-439E-8802-66BFF4FB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51104"/>
        <c:axId val="-1236767968"/>
      </c:lineChart>
      <c:dateAx>
        <c:axId val="-1236751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67968"/>
        <c:crosses val="autoZero"/>
        <c:auto val="1"/>
        <c:lblOffset val="100"/>
        <c:baseTimeUnit val="months"/>
      </c:dateAx>
      <c:valAx>
        <c:axId val="-12367679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spread_ROE!$B$1</c:f>
              <c:strCache>
                <c:ptCount val="1"/>
                <c:pt idx="0">
                  <c:v>Top组中位数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spread_ROE!$A$2:$A$300</c:f>
              <c:numCache>
                <c:formatCode>m/d/yyyy</c:formatCode>
                <c:ptCount val="299"/>
                <c:pt idx="0">
                  <c:v>39082</c:v>
                </c:pt>
                <c:pt idx="1">
                  <c:v>39113</c:v>
                </c:pt>
                <c:pt idx="2">
                  <c:v>39141</c:v>
                </c:pt>
                <c:pt idx="3">
                  <c:v>39172</c:v>
                </c:pt>
                <c:pt idx="4">
                  <c:v>39202</c:v>
                </c:pt>
                <c:pt idx="5">
                  <c:v>39233</c:v>
                </c:pt>
                <c:pt idx="6">
                  <c:v>39263</c:v>
                </c:pt>
                <c:pt idx="7">
                  <c:v>39294</c:v>
                </c:pt>
                <c:pt idx="8">
                  <c:v>39325</c:v>
                </c:pt>
                <c:pt idx="9">
                  <c:v>39355</c:v>
                </c:pt>
                <c:pt idx="10">
                  <c:v>39386</c:v>
                </c:pt>
                <c:pt idx="11">
                  <c:v>39416</c:v>
                </c:pt>
                <c:pt idx="12">
                  <c:v>39447</c:v>
                </c:pt>
                <c:pt idx="13">
                  <c:v>39478</c:v>
                </c:pt>
                <c:pt idx="14">
                  <c:v>39507</c:v>
                </c:pt>
                <c:pt idx="15">
                  <c:v>39538</c:v>
                </c:pt>
                <c:pt idx="16">
                  <c:v>39568</c:v>
                </c:pt>
                <c:pt idx="17">
                  <c:v>39599</c:v>
                </c:pt>
                <c:pt idx="18">
                  <c:v>39629</c:v>
                </c:pt>
                <c:pt idx="19">
                  <c:v>39660</c:v>
                </c:pt>
                <c:pt idx="20">
                  <c:v>39691</c:v>
                </c:pt>
                <c:pt idx="21">
                  <c:v>39721</c:v>
                </c:pt>
                <c:pt idx="22">
                  <c:v>39752</c:v>
                </c:pt>
                <c:pt idx="23">
                  <c:v>39782</c:v>
                </c:pt>
                <c:pt idx="24">
                  <c:v>39813</c:v>
                </c:pt>
                <c:pt idx="25">
                  <c:v>39844</c:v>
                </c:pt>
                <c:pt idx="26">
                  <c:v>39872</c:v>
                </c:pt>
                <c:pt idx="27">
                  <c:v>39903</c:v>
                </c:pt>
                <c:pt idx="28">
                  <c:v>39933</c:v>
                </c:pt>
                <c:pt idx="29">
                  <c:v>39964</c:v>
                </c:pt>
                <c:pt idx="30">
                  <c:v>39994</c:v>
                </c:pt>
                <c:pt idx="31">
                  <c:v>40025</c:v>
                </c:pt>
                <c:pt idx="32">
                  <c:v>40056</c:v>
                </c:pt>
                <c:pt idx="33">
                  <c:v>40086</c:v>
                </c:pt>
                <c:pt idx="34">
                  <c:v>40117</c:v>
                </c:pt>
                <c:pt idx="35">
                  <c:v>40147</c:v>
                </c:pt>
                <c:pt idx="36">
                  <c:v>40178</c:v>
                </c:pt>
                <c:pt idx="37">
                  <c:v>40209</c:v>
                </c:pt>
                <c:pt idx="38">
                  <c:v>40237</c:v>
                </c:pt>
                <c:pt idx="39">
                  <c:v>40268</c:v>
                </c:pt>
                <c:pt idx="40">
                  <c:v>40298</c:v>
                </c:pt>
                <c:pt idx="41">
                  <c:v>40329</c:v>
                </c:pt>
                <c:pt idx="42">
                  <c:v>40359</c:v>
                </c:pt>
                <c:pt idx="43">
                  <c:v>40390</c:v>
                </c:pt>
                <c:pt idx="44">
                  <c:v>40421</c:v>
                </c:pt>
                <c:pt idx="45">
                  <c:v>40451</c:v>
                </c:pt>
                <c:pt idx="46">
                  <c:v>40482</c:v>
                </c:pt>
                <c:pt idx="47">
                  <c:v>40512</c:v>
                </c:pt>
                <c:pt idx="48">
                  <c:v>40543</c:v>
                </c:pt>
                <c:pt idx="49">
                  <c:v>40574</c:v>
                </c:pt>
                <c:pt idx="50">
                  <c:v>40602</c:v>
                </c:pt>
                <c:pt idx="51">
                  <c:v>40633</c:v>
                </c:pt>
                <c:pt idx="52">
                  <c:v>40663</c:v>
                </c:pt>
                <c:pt idx="53">
                  <c:v>40694</c:v>
                </c:pt>
                <c:pt idx="54">
                  <c:v>40724</c:v>
                </c:pt>
                <c:pt idx="55">
                  <c:v>40755</c:v>
                </c:pt>
                <c:pt idx="56">
                  <c:v>40786</c:v>
                </c:pt>
                <c:pt idx="57">
                  <c:v>40816</c:v>
                </c:pt>
                <c:pt idx="58">
                  <c:v>40847</c:v>
                </c:pt>
                <c:pt idx="59">
                  <c:v>40877</c:v>
                </c:pt>
                <c:pt idx="60">
                  <c:v>40908</c:v>
                </c:pt>
                <c:pt idx="61">
                  <c:v>40939</c:v>
                </c:pt>
                <c:pt idx="62">
                  <c:v>40968</c:v>
                </c:pt>
                <c:pt idx="63">
                  <c:v>40999</c:v>
                </c:pt>
                <c:pt idx="64">
                  <c:v>41029</c:v>
                </c:pt>
                <c:pt idx="65">
                  <c:v>41060</c:v>
                </c:pt>
                <c:pt idx="66">
                  <c:v>41090</c:v>
                </c:pt>
                <c:pt idx="67">
                  <c:v>41121</c:v>
                </c:pt>
                <c:pt idx="68">
                  <c:v>41152</c:v>
                </c:pt>
                <c:pt idx="69">
                  <c:v>41182</c:v>
                </c:pt>
                <c:pt idx="70">
                  <c:v>41213</c:v>
                </c:pt>
                <c:pt idx="71">
                  <c:v>41243</c:v>
                </c:pt>
                <c:pt idx="72">
                  <c:v>41274</c:v>
                </c:pt>
                <c:pt idx="73">
                  <c:v>41305</c:v>
                </c:pt>
                <c:pt idx="74">
                  <c:v>41333</c:v>
                </c:pt>
                <c:pt idx="75">
                  <c:v>41364</c:v>
                </c:pt>
                <c:pt idx="76">
                  <c:v>41394</c:v>
                </c:pt>
                <c:pt idx="77">
                  <c:v>41425</c:v>
                </c:pt>
                <c:pt idx="78">
                  <c:v>41455</c:v>
                </c:pt>
                <c:pt idx="79">
                  <c:v>41486</c:v>
                </c:pt>
                <c:pt idx="80">
                  <c:v>41517</c:v>
                </c:pt>
                <c:pt idx="81">
                  <c:v>41547</c:v>
                </c:pt>
                <c:pt idx="82">
                  <c:v>41578</c:v>
                </c:pt>
                <c:pt idx="83">
                  <c:v>41608</c:v>
                </c:pt>
                <c:pt idx="84">
                  <c:v>41639</c:v>
                </c:pt>
                <c:pt idx="85">
                  <c:v>41670</c:v>
                </c:pt>
                <c:pt idx="86">
                  <c:v>41698</c:v>
                </c:pt>
                <c:pt idx="87">
                  <c:v>41729</c:v>
                </c:pt>
                <c:pt idx="88">
                  <c:v>41759</c:v>
                </c:pt>
                <c:pt idx="89">
                  <c:v>41790</c:v>
                </c:pt>
                <c:pt idx="90">
                  <c:v>41820</c:v>
                </c:pt>
                <c:pt idx="91">
                  <c:v>41851</c:v>
                </c:pt>
                <c:pt idx="92">
                  <c:v>41882</c:v>
                </c:pt>
                <c:pt idx="93">
                  <c:v>41912</c:v>
                </c:pt>
                <c:pt idx="94">
                  <c:v>41943</c:v>
                </c:pt>
                <c:pt idx="95">
                  <c:v>41973</c:v>
                </c:pt>
                <c:pt idx="96">
                  <c:v>42004</c:v>
                </c:pt>
                <c:pt idx="97">
                  <c:v>42035</c:v>
                </c:pt>
                <c:pt idx="98">
                  <c:v>42063</c:v>
                </c:pt>
                <c:pt idx="99">
                  <c:v>42094</c:v>
                </c:pt>
                <c:pt idx="100">
                  <c:v>42124</c:v>
                </c:pt>
                <c:pt idx="101">
                  <c:v>42155</c:v>
                </c:pt>
                <c:pt idx="102">
                  <c:v>42185</c:v>
                </c:pt>
                <c:pt idx="103">
                  <c:v>42216</c:v>
                </c:pt>
                <c:pt idx="104">
                  <c:v>42247</c:v>
                </c:pt>
                <c:pt idx="105">
                  <c:v>42277</c:v>
                </c:pt>
                <c:pt idx="106">
                  <c:v>42308</c:v>
                </c:pt>
                <c:pt idx="107">
                  <c:v>42338</c:v>
                </c:pt>
                <c:pt idx="108">
                  <c:v>42369</c:v>
                </c:pt>
                <c:pt idx="109">
                  <c:v>42400</c:v>
                </c:pt>
                <c:pt idx="110">
                  <c:v>42429</c:v>
                </c:pt>
                <c:pt idx="111">
                  <c:v>42460</c:v>
                </c:pt>
                <c:pt idx="112">
                  <c:v>42490</c:v>
                </c:pt>
                <c:pt idx="113">
                  <c:v>42521</c:v>
                </c:pt>
                <c:pt idx="114">
                  <c:v>42551</c:v>
                </c:pt>
                <c:pt idx="115">
                  <c:v>42582</c:v>
                </c:pt>
                <c:pt idx="116">
                  <c:v>42613</c:v>
                </c:pt>
                <c:pt idx="117">
                  <c:v>42643</c:v>
                </c:pt>
                <c:pt idx="118">
                  <c:v>42674</c:v>
                </c:pt>
                <c:pt idx="119">
                  <c:v>42704</c:v>
                </c:pt>
                <c:pt idx="120">
                  <c:v>42735</c:v>
                </c:pt>
                <c:pt idx="121">
                  <c:v>42766</c:v>
                </c:pt>
                <c:pt idx="122">
                  <c:v>42794</c:v>
                </c:pt>
                <c:pt idx="123">
                  <c:v>42825</c:v>
                </c:pt>
                <c:pt idx="124">
                  <c:v>42855</c:v>
                </c:pt>
                <c:pt idx="125">
                  <c:v>42886</c:v>
                </c:pt>
                <c:pt idx="126">
                  <c:v>42916</c:v>
                </c:pt>
                <c:pt idx="127">
                  <c:v>42947</c:v>
                </c:pt>
                <c:pt idx="128">
                  <c:v>42978</c:v>
                </c:pt>
                <c:pt idx="129">
                  <c:v>43008</c:v>
                </c:pt>
                <c:pt idx="130">
                  <c:v>43039</c:v>
                </c:pt>
                <c:pt idx="131">
                  <c:v>43069</c:v>
                </c:pt>
                <c:pt idx="132">
                  <c:v>43100</c:v>
                </c:pt>
                <c:pt idx="133">
                  <c:v>43131</c:v>
                </c:pt>
                <c:pt idx="134">
                  <c:v>43159</c:v>
                </c:pt>
                <c:pt idx="135">
                  <c:v>43190</c:v>
                </c:pt>
                <c:pt idx="136">
                  <c:v>43220</c:v>
                </c:pt>
                <c:pt idx="137">
                  <c:v>43251</c:v>
                </c:pt>
                <c:pt idx="138">
                  <c:v>43281</c:v>
                </c:pt>
                <c:pt idx="139">
                  <c:v>43312</c:v>
                </c:pt>
                <c:pt idx="140">
                  <c:v>43343</c:v>
                </c:pt>
                <c:pt idx="141">
                  <c:v>43373</c:v>
                </c:pt>
                <c:pt idx="142">
                  <c:v>43404</c:v>
                </c:pt>
                <c:pt idx="143">
                  <c:v>43434</c:v>
                </c:pt>
                <c:pt idx="144">
                  <c:v>43465</c:v>
                </c:pt>
                <c:pt idx="145">
                  <c:v>43496</c:v>
                </c:pt>
                <c:pt idx="146">
                  <c:v>43524</c:v>
                </c:pt>
                <c:pt idx="147">
                  <c:v>43555</c:v>
                </c:pt>
                <c:pt idx="148">
                  <c:v>43585</c:v>
                </c:pt>
                <c:pt idx="149">
                  <c:v>43616</c:v>
                </c:pt>
                <c:pt idx="150">
                  <c:v>43646</c:v>
                </c:pt>
                <c:pt idx="151">
                  <c:v>43677</c:v>
                </c:pt>
                <c:pt idx="152">
                  <c:v>43708</c:v>
                </c:pt>
                <c:pt idx="153">
                  <c:v>43738</c:v>
                </c:pt>
                <c:pt idx="154">
                  <c:v>43769</c:v>
                </c:pt>
                <c:pt idx="155">
                  <c:v>43799</c:v>
                </c:pt>
                <c:pt idx="156">
                  <c:v>43830</c:v>
                </c:pt>
                <c:pt idx="157">
                  <c:v>43861</c:v>
                </c:pt>
                <c:pt idx="158">
                  <c:v>43890</c:v>
                </c:pt>
                <c:pt idx="159">
                  <c:v>43921</c:v>
                </c:pt>
                <c:pt idx="160">
                  <c:v>43951</c:v>
                </c:pt>
                <c:pt idx="161">
                  <c:v>43982</c:v>
                </c:pt>
                <c:pt idx="162">
                  <c:v>44012</c:v>
                </c:pt>
                <c:pt idx="163">
                  <c:v>44043</c:v>
                </c:pt>
                <c:pt idx="164">
                  <c:v>44074</c:v>
                </c:pt>
                <c:pt idx="165">
                  <c:v>44104</c:v>
                </c:pt>
                <c:pt idx="166">
                  <c:v>44135</c:v>
                </c:pt>
                <c:pt idx="167">
                  <c:v>44165</c:v>
                </c:pt>
                <c:pt idx="168">
                  <c:v>44196</c:v>
                </c:pt>
                <c:pt idx="169">
                  <c:v>44227</c:v>
                </c:pt>
                <c:pt idx="170">
                  <c:v>44255</c:v>
                </c:pt>
                <c:pt idx="171">
                  <c:v>44286</c:v>
                </c:pt>
                <c:pt idx="172">
                  <c:v>44316</c:v>
                </c:pt>
                <c:pt idx="173">
                  <c:v>44347</c:v>
                </c:pt>
                <c:pt idx="174">
                  <c:v>44377</c:v>
                </c:pt>
                <c:pt idx="175">
                  <c:v>44408</c:v>
                </c:pt>
                <c:pt idx="176">
                  <c:v>44439</c:v>
                </c:pt>
                <c:pt idx="177">
                  <c:v>44469</c:v>
                </c:pt>
                <c:pt idx="178">
                  <c:v>44500</c:v>
                </c:pt>
                <c:pt idx="179">
                  <c:v>44530</c:v>
                </c:pt>
                <c:pt idx="180">
                  <c:v>44561</c:v>
                </c:pt>
                <c:pt idx="181">
                  <c:v>44592</c:v>
                </c:pt>
                <c:pt idx="182">
                  <c:v>44620</c:v>
                </c:pt>
                <c:pt idx="183">
                  <c:v>44651</c:v>
                </c:pt>
                <c:pt idx="184">
                  <c:v>44681</c:v>
                </c:pt>
                <c:pt idx="185">
                  <c:v>44712</c:v>
                </c:pt>
                <c:pt idx="186">
                  <c:v>44742</c:v>
                </c:pt>
                <c:pt idx="187">
                  <c:v>44773</c:v>
                </c:pt>
                <c:pt idx="188">
                  <c:v>44804</c:v>
                </c:pt>
                <c:pt idx="189">
                  <c:v>44834</c:v>
                </c:pt>
                <c:pt idx="190">
                  <c:v>44865</c:v>
                </c:pt>
                <c:pt idx="191">
                  <c:v>44895</c:v>
                </c:pt>
                <c:pt idx="192">
                  <c:v>44926</c:v>
                </c:pt>
                <c:pt idx="193">
                  <c:v>44957</c:v>
                </c:pt>
                <c:pt idx="194">
                  <c:v>44985</c:v>
                </c:pt>
                <c:pt idx="195">
                  <c:v>45016</c:v>
                </c:pt>
                <c:pt idx="196">
                  <c:v>45046</c:v>
                </c:pt>
                <c:pt idx="197">
                  <c:v>45077</c:v>
                </c:pt>
                <c:pt idx="198">
                  <c:v>45107</c:v>
                </c:pt>
                <c:pt idx="199">
                  <c:v>45138</c:v>
                </c:pt>
                <c:pt idx="200">
                  <c:v>45169</c:v>
                </c:pt>
                <c:pt idx="201">
                  <c:v>45199</c:v>
                </c:pt>
                <c:pt idx="202">
                  <c:v>45230</c:v>
                </c:pt>
                <c:pt idx="203">
                  <c:v>45260</c:v>
                </c:pt>
                <c:pt idx="204">
                  <c:v>45291</c:v>
                </c:pt>
                <c:pt idx="205">
                  <c:v>45322</c:v>
                </c:pt>
                <c:pt idx="206">
                  <c:v>45351</c:v>
                </c:pt>
                <c:pt idx="207">
                  <c:v>45382</c:v>
                </c:pt>
                <c:pt idx="208">
                  <c:v>45412</c:v>
                </c:pt>
                <c:pt idx="209">
                  <c:v>45443</c:v>
                </c:pt>
                <c:pt idx="210">
                  <c:v>45473</c:v>
                </c:pt>
                <c:pt idx="211">
                  <c:v>45504</c:v>
                </c:pt>
                <c:pt idx="212">
                  <c:v>45535</c:v>
                </c:pt>
                <c:pt idx="213">
                  <c:v>45565</c:v>
                </c:pt>
                <c:pt idx="214">
                  <c:v>45596</c:v>
                </c:pt>
                <c:pt idx="215">
                  <c:v>45626</c:v>
                </c:pt>
                <c:pt idx="216">
                  <c:v>45657</c:v>
                </c:pt>
                <c:pt idx="217">
                  <c:v>45688</c:v>
                </c:pt>
                <c:pt idx="218">
                  <c:v>45716</c:v>
                </c:pt>
                <c:pt idx="219">
                  <c:v>45747</c:v>
                </c:pt>
                <c:pt idx="220">
                  <c:v>45777</c:v>
                </c:pt>
                <c:pt idx="221">
                  <c:v>45808</c:v>
                </c:pt>
                <c:pt idx="222">
                  <c:v>45838</c:v>
                </c:pt>
                <c:pt idx="223">
                  <c:v>45869</c:v>
                </c:pt>
                <c:pt idx="224">
                  <c:v>45900</c:v>
                </c:pt>
                <c:pt idx="225">
                  <c:v>45930</c:v>
                </c:pt>
                <c:pt idx="226">
                  <c:v>45961</c:v>
                </c:pt>
                <c:pt idx="227">
                  <c:v>45991</c:v>
                </c:pt>
                <c:pt idx="228">
                  <c:v>46022</c:v>
                </c:pt>
              </c:numCache>
            </c:numRef>
          </c:cat>
          <c:val>
            <c:numRef>
              <c:f>spread_ROE!$B$2:$B$300</c:f>
              <c:numCache>
                <c:formatCode>0%</c:formatCode>
                <c:ptCount val="299"/>
                <c:pt idx="0">
                  <c:v>0.187390950426577</c:v>
                </c:pt>
                <c:pt idx="1">
                  <c:v>0.187390950426577</c:v>
                </c:pt>
                <c:pt idx="2">
                  <c:v>0.187390950426577</c:v>
                </c:pt>
                <c:pt idx="3">
                  <c:v>0.187390950426577</c:v>
                </c:pt>
                <c:pt idx="4">
                  <c:v>0.187390950426577</c:v>
                </c:pt>
                <c:pt idx="5">
                  <c:v>0.187390950426577</c:v>
                </c:pt>
                <c:pt idx="6">
                  <c:v>0.19920961938352499</c:v>
                </c:pt>
                <c:pt idx="7">
                  <c:v>0.21435248819994299</c:v>
                </c:pt>
                <c:pt idx="8">
                  <c:v>0.23416247662819001</c:v>
                </c:pt>
                <c:pt idx="9">
                  <c:v>0.25132537733127402</c:v>
                </c:pt>
                <c:pt idx="10">
                  <c:v>0.261402415259883</c:v>
                </c:pt>
                <c:pt idx="11">
                  <c:v>0.265722172572538</c:v>
                </c:pt>
                <c:pt idx="12">
                  <c:v>0.27222840153804401</c:v>
                </c:pt>
                <c:pt idx="13">
                  <c:v>0.27692016141886899</c:v>
                </c:pt>
                <c:pt idx="14">
                  <c:v>0.27803554418653997</c:v>
                </c:pt>
                <c:pt idx="15">
                  <c:v>0.28564806244941698</c:v>
                </c:pt>
                <c:pt idx="16">
                  <c:v>0.29142866247948401</c:v>
                </c:pt>
                <c:pt idx="17">
                  <c:v>0.29238448703452402</c:v>
                </c:pt>
                <c:pt idx="18">
                  <c:v>0.29320403222001701</c:v>
                </c:pt>
                <c:pt idx="19">
                  <c:v>0.291357836329311</c:v>
                </c:pt>
                <c:pt idx="20">
                  <c:v>0.294026110900238</c:v>
                </c:pt>
                <c:pt idx="21">
                  <c:v>0.29369522472906601</c:v>
                </c:pt>
                <c:pt idx="22">
                  <c:v>0.286803317591248</c:v>
                </c:pt>
                <c:pt idx="23">
                  <c:v>0.28766816161645298</c:v>
                </c:pt>
                <c:pt idx="24">
                  <c:v>0.29470249788509101</c:v>
                </c:pt>
                <c:pt idx="25">
                  <c:v>0.30055978913063602</c:v>
                </c:pt>
                <c:pt idx="26">
                  <c:v>0.29976568317232</c:v>
                </c:pt>
                <c:pt idx="27">
                  <c:v>0.29748362119859501</c:v>
                </c:pt>
                <c:pt idx="28">
                  <c:v>0.287818294442028</c:v>
                </c:pt>
                <c:pt idx="29">
                  <c:v>0.27828240367498802</c:v>
                </c:pt>
                <c:pt idx="30">
                  <c:v>0.26337276875228399</c:v>
                </c:pt>
                <c:pt idx="31">
                  <c:v>0.24887114431577101</c:v>
                </c:pt>
                <c:pt idx="32">
                  <c:v>0.23586762259465699</c:v>
                </c:pt>
                <c:pt idx="33">
                  <c:v>0.22617860717774901</c:v>
                </c:pt>
                <c:pt idx="34">
                  <c:v>0.222591034655228</c:v>
                </c:pt>
                <c:pt idx="35">
                  <c:v>0.217255074278942</c:v>
                </c:pt>
                <c:pt idx="36">
                  <c:v>0.21240450505927699</c:v>
                </c:pt>
                <c:pt idx="37">
                  <c:v>0.210697384816982</c:v>
                </c:pt>
                <c:pt idx="38">
                  <c:v>0.206858188908843</c:v>
                </c:pt>
                <c:pt idx="39">
                  <c:v>0.20521091546401399</c:v>
                </c:pt>
                <c:pt idx="40">
                  <c:v>0.210291178978535</c:v>
                </c:pt>
                <c:pt idx="41">
                  <c:v>0.21557791859025099</c:v>
                </c:pt>
                <c:pt idx="42">
                  <c:v>0.22086448995615299</c:v>
                </c:pt>
                <c:pt idx="43">
                  <c:v>0.22632522796170601</c:v>
                </c:pt>
                <c:pt idx="44">
                  <c:v>0.23315036879828499</c:v>
                </c:pt>
                <c:pt idx="45">
                  <c:v>0.235025568874734</c:v>
                </c:pt>
                <c:pt idx="46">
                  <c:v>0.23579324398111301</c:v>
                </c:pt>
                <c:pt idx="47">
                  <c:v>0.23897093274959899</c:v>
                </c:pt>
                <c:pt idx="48">
                  <c:v>0.24351675780776399</c:v>
                </c:pt>
                <c:pt idx="49">
                  <c:v>0.24832862319344601</c:v>
                </c:pt>
                <c:pt idx="50">
                  <c:v>0.25340584273244599</c:v>
                </c:pt>
                <c:pt idx="51">
                  <c:v>0.26211385380277602</c:v>
                </c:pt>
                <c:pt idx="52">
                  <c:v>0.26031323456530397</c:v>
                </c:pt>
                <c:pt idx="53">
                  <c:v>0.25534689433608598</c:v>
                </c:pt>
                <c:pt idx="54">
                  <c:v>0.249221933892153</c:v>
                </c:pt>
                <c:pt idx="55">
                  <c:v>0.24135211246900301</c:v>
                </c:pt>
                <c:pt idx="56">
                  <c:v>0.23721621566109</c:v>
                </c:pt>
                <c:pt idx="57">
                  <c:v>0.22935438399083299</c:v>
                </c:pt>
                <c:pt idx="58">
                  <c:v>0.22968862071096099</c:v>
                </c:pt>
                <c:pt idx="59">
                  <c:v>0.23088183650696401</c:v>
                </c:pt>
                <c:pt idx="60">
                  <c:v>0.231949956414679</c:v>
                </c:pt>
                <c:pt idx="61">
                  <c:v>0.23376830270501001</c:v>
                </c:pt>
                <c:pt idx="62">
                  <c:v>0.23530102519589999</c:v>
                </c:pt>
                <c:pt idx="63">
                  <c:v>0.243027953045411</c:v>
                </c:pt>
                <c:pt idx="64">
                  <c:v>0.24315824258854901</c:v>
                </c:pt>
                <c:pt idx="65">
                  <c:v>0.24385813371218201</c:v>
                </c:pt>
                <c:pt idx="66">
                  <c:v>0.244347204690647</c:v>
                </c:pt>
                <c:pt idx="67">
                  <c:v>0.244007994117591</c:v>
                </c:pt>
                <c:pt idx="68">
                  <c:v>0.23719611563624399</c:v>
                </c:pt>
                <c:pt idx="69">
                  <c:v>0.22314555951174</c:v>
                </c:pt>
                <c:pt idx="70">
                  <c:v>0.219006918709092</c:v>
                </c:pt>
                <c:pt idx="71">
                  <c:v>0.21468335937661501</c:v>
                </c:pt>
                <c:pt idx="72">
                  <c:v>0.21013233475879101</c:v>
                </c:pt>
                <c:pt idx="73">
                  <c:v>0.20592674113829901</c:v>
                </c:pt>
                <c:pt idx="74">
                  <c:v>0.20485887746557599</c:v>
                </c:pt>
                <c:pt idx="75">
                  <c:v>0.20573036368973499</c:v>
                </c:pt>
                <c:pt idx="76">
                  <c:v>0.200324686552798</c:v>
                </c:pt>
                <c:pt idx="77">
                  <c:v>0.19369824817279499</c:v>
                </c:pt>
                <c:pt idx="78">
                  <c:v>0.18813495610243999</c:v>
                </c:pt>
                <c:pt idx="79">
                  <c:v>0.18250301832329199</c:v>
                </c:pt>
                <c:pt idx="80">
                  <c:v>0.17755203236879299</c:v>
                </c:pt>
                <c:pt idx="81">
                  <c:v>0.17249689309160801</c:v>
                </c:pt>
                <c:pt idx="82">
                  <c:v>0.17390574696622499</c:v>
                </c:pt>
                <c:pt idx="83">
                  <c:v>0.17614750204860199</c:v>
                </c:pt>
                <c:pt idx="84">
                  <c:v>0.17801894531353199</c:v>
                </c:pt>
                <c:pt idx="85">
                  <c:v>0.17934837703658901</c:v>
                </c:pt>
                <c:pt idx="86">
                  <c:v>0.17964449479307301</c:v>
                </c:pt>
                <c:pt idx="87">
                  <c:v>0.17936652141800999</c:v>
                </c:pt>
                <c:pt idx="88">
                  <c:v>0.18056270825855</c:v>
                </c:pt>
                <c:pt idx="89">
                  <c:v>0.18206376138063701</c:v>
                </c:pt>
                <c:pt idx="90">
                  <c:v>0.183027784510432</c:v>
                </c:pt>
                <c:pt idx="91">
                  <c:v>0.184016233814987</c:v>
                </c:pt>
                <c:pt idx="92">
                  <c:v>0.186025205406286</c:v>
                </c:pt>
                <c:pt idx="93">
                  <c:v>0.188276154738337</c:v>
                </c:pt>
                <c:pt idx="94">
                  <c:v>0.18669260782852201</c:v>
                </c:pt>
                <c:pt idx="95">
                  <c:v>0.185361743987805</c:v>
                </c:pt>
                <c:pt idx="96">
                  <c:v>0.184237598600411</c:v>
                </c:pt>
                <c:pt idx="97">
                  <c:v>0.18342252480814999</c:v>
                </c:pt>
                <c:pt idx="98">
                  <c:v>0.181592550637483</c:v>
                </c:pt>
                <c:pt idx="99">
                  <c:v>0.17983799591781799</c:v>
                </c:pt>
                <c:pt idx="100">
                  <c:v>0.18019042649762501</c:v>
                </c:pt>
                <c:pt idx="101">
                  <c:v>0.17836566846416399</c:v>
                </c:pt>
                <c:pt idx="102">
                  <c:v>0.17835488095395499</c:v>
                </c:pt>
                <c:pt idx="103">
                  <c:v>0.17665474202506101</c:v>
                </c:pt>
                <c:pt idx="104">
                  <c:v>0.175919616048688</c:v>
                </c:pt>
                <c:pt idx="105">
                  <c:v>0.17513326757765199</c:v>
                </c:pt>
                <c:pt idx="106">
                  <c:v>0.173839240229644</c:v>
                </c:pt>
                <c:pt idx="107">
                  <c:v>0.17344356828566901</c:v>
                </c:pt>
                <c:pt idx="108">
                  <c:v>0.17231312699326901</c:v>
                </c:pt>
                <c:pt idx="109">
                  <c:v>0.17349352260270001</c:v>
                </c:pt>
                <c:pt idx="110">
                  <c:v>0.17457936778532099</c:v>
                </c:pt>
                <c:pt idx="111">
                  <c:v>0.17640712550877699</c:v>
                </c:pt>
                <c:pt idx="112">
                  <c:v>0.173808657305762</c:v>
                </c:pt>
                <c:pt idx="113">
                  <c:v>0.17200515159789201</c:v>
                </c:pt>
                <c:pt idx="114">
                  <c:v>0.168976543966878</c:v>
                </c:pt>
                <c:pt idx="115">
                  <c:v>0.165474050065685</c:v>
                </c:pt>
                <c:pt idx="116">
                  <c:v>0.16059348689497699</c:v>
                </c:pt>
                <c:pt idx="117">
                  <c:v>0.154175204882636</c:v>
                </c:pt>
                <c:pt idx="118">
                  <c:v>0.15444070242466301</c:v>
                </c:pt>
                <c:pt idx="119">
                  <c:v>0.15509713046794399</c:v>
                </c:pt>
                <c:pt idx="120">
                  <c:v>0.15643577870334399</c:v>
                </c:pt>
                <c:pt idx="121">
                  <c:v>0.15699522706826599</c:v>
                </c:pt>
                <c:pt idx="122">
                  <c:v>0.15684666396270899</c:v>
                </c:pt>
                <c:pt idx="123">
                  <c:v>0.15814035396339801</c:v>
                </c:pt>
                <c:pt idx="124">
                  <c:v>0.157481922350201</c:v>
                </c:pt>
                <c:pt idx="125">
                  <c:v>0.156941548058322</c:v>
                </c:pt>
                <c:pt idx="126">
                  <c:v>0.15639588768860299</c:v>
                </c:pt>
                <c:pt idx="127">
                  <c:v>0.156308732136752</c:v>
                </c:pt>
                <c:pt idx="128">
                  <c:v>0.16089766538615699</c:v>
                </c:pt>
                <c:pt idx="129">
                  <c:v>0.16458662104983601</c:v>
                </c:pt>
                <c:pt idx="130">
                  <c:v>0.16734299278026399</c:v>
                </c:pt>
                <c:pt idx="131">
                  <c:v>0.17065810385441399</c:v>
                </c:pt>
                <c:pt idx="132">
                  <c:v>0.17412060741810001</c:v>
                </c:pt>
                <c:pt idx="133">
                  <c:v>0.177727286736163</c:v>
                </c:pt>
                <c:pt idx="134">
                  <c:v>0.18126817339078399</c:v>
                </c:pt>
                <c:pt idx="135">
                  <c:v>0.184839320554958</c:v>
                </c:pt>
                <c:pt idx="136">
                  <c:v>0.18533794664147399</c:v>
                </c:pt>
                <c:pt idx="137">
                  <c:v>0.18672695956656801</c:v>
                </c:pt>
                <c:pt idx="138">
                  <c:v>0.19007048304933999</c:v>
                </c:pt>
                <c:pt idx="139">
                  <c:v>0.19545724785525501</c:v>
                </c:pt>
                <c:pt idx="140">
                  <c:v>0.202017977942935</c:v>
                </c:pt>
                <c:pt idx="141">
                  <c:v>0.206669732939848</c:v>
                </c:pt>
                <c:pt idx="142">
                  <c:v>0.21328150174098201</c:v>
                </c:pt>
                <c:pt idx="143">
                  <c:v>0.21766596463115101</c:v>
                </c:pt>
                <c:pt idx="144">
                  <c:v>0.21948071315701201</c:v>
                </c:pt>
                <c:pt idx="145">
                  <c:v>0.219755002719809</c:v>
                </c:pt>
                <c:pt idx="146">
                  <c:v>0.215518421129334</c:v>
                </c:pt>
                <c:pt idx="147">
                  <c:v>0.213373929630371</c:v>
                </c:pt>
                <c:pt idx="148">
                  <c:v>0.21003926070992701</c:v>
                </c:pt>
                <c:pt idx="149">
                  <c:v>0.20637446948475299</c:v>
                </c:pt>
                <c:pt idx="150">
                  <c:v>0.20333346901889099</c:v>
                </c:pt>
                <c:pt idx="151">
                  <c:v>0.20082305479957199</c:v>
                </c:pt>
                <c:pt idx="152">
                  <c:v>0.20151614221596501</c:v>
                </c:pt>
                <c:pt idx="153">
                  <c:v>0.20022089170382501</c:v>
                </c:pt>
                <c:pt idx="154">
                  <c:v>0.20332540475882099</c:v>
                </c:pt>
                <c:pt idx="155">
                  <c:v>0.208997431531974</c:v>
                </c:pt>
                <c:pt idx="156">
                  <c:v>0.21105868527059099</c:v>
                </c:pt>
                <c:pt idx="157">
                  <c:v>0.21187942504745699</c:v>
                </c:pt>
                <c:pt idx="158">
                  <c:v>0.211518603105047</c:v>
                </c:pt>
                <c:pt idx="159">
                  <c:v>0.21546248799870901</c:v>
                </c:pt>
                <c:pt idx="160">
                  <c:v>0.208059633231688</c:v>
                </c:pt>
                <c:pt idx="161">
                  <c:v>0.198054490816684</c:v>
                </c:pt>
                <c:pt idx="162">
                  <c:v>0.19102435869987999</c:v>
                </c:pt>
                <c:pt idx="163">
                  <c:v>0.18407901783766101</c:v>
                </c:pt>
                <c:pt idx="164">
                  <c:v>0.178784348811201</c:v>
                </c:pt>
                <c:pt idx="165">
                  <c:v>0.17180540833515801</c:v>
                </c:pt>
                <c:pt idx="166">
                  <c:v>0.175787410859892</c:v>
                </c:pt>
                <c:pt idx="167">
                  <c:v>0.18160080732845801</c:v>
                </c:pt>
                <c:pt idx="168">
                  <c:v>0.188364283215921</c:v>
                </c:pt>
                <c:pt idx="169">
                  <c:v>0.19489466581237</c:v>
                </c:pt>
                <c:pt idx="170">
                  <c:v>0.199045143028098</c:v>
                </c:pt>
                <c:pt idx="171">
                  <c:v>0.202440451471673</c:v>
                </c:pt>
                <c:pt idx="172">
                  <c:v>0.205822222658924</c:v>
                </c:pt>
                <c:pt idx="173">
                  <c:v>0.209812001835815</c:v>
                </c:pt>
                <c:pt idx="174">
                  <c:v>0.213039558114897</c:v>
                </c:pt>
                <c:pt idx="175">
                  <c:v>0.21643246955957199</c:v>
                </c:pt>
                <c:pt idx="176">
                  <c:v>0.220915587469946</c:v>
                </c:pt>
                <c:pt idx="177">
                  <c:v>0.22572473868991699</c:v>
                </c:pt>
                <c:pt idx="178">
                  <c:v>0.22863438038444001</c:v>
                </c:pt>
                <c:pt idx="179">
                  <c:v>0.22861107566442301</c:v>
                </c:pt>
                <c:pt idx="180">
                  <c:v>0.22992072571136299</c:v>
                </c:pt>
                <c:pt idx="181">
                  <c:v>0.231743090658524</c:v>
                </c:pt>
                <c:pt idx="182">
                  <c:v>0.23170787623248301</c:v>
                </c:pt>
                <c:pt idx="183">
                  <c:v>0.232140531197702</c:v>
                </c:pt>
                <c:pt idx="184">
                  <c:v>0.238827196013499</c:v>
                </c:pt>
                <c:pt idx="185">
                  <c:v>0.24139307966999801</c:v>
                </c:pt>
                <c:pt idx="186">
                  <c:v>0.24206833338965</c:v>
                </c:pt>
                <c:pt idx="187">
                  <c:v>0.24256416215607601</c:v>
                </c:pt>
                <c:pt idx="188">
                  <c:v>0.24886074853248299</c:v>
                </c:pt>
                <c:pt idx="189">
                  <c:v>0.25313588982185198</c:v>
                </c:pt>
                <c:pt idx="190">
                  <c:v>0.247872577462942</c:v>
                </c:pt>
                <c:pt idx="191">
                  <c:v>0.24719929647483899</c:v>
                </c:pt>
                <c:pt idx="192">
                  <c:v>0.24678374111267701</c:v>
                </c:pt>
                <c:pt idx="193">
                  <c:v>0.24604209927269199</c:v>
                </c:pt>
                <c:pt idx="194">
                  <c:v>0.23873529461062401</c:v>
                </c:pt>
                <c:pt idx="195">
                  <c:v>0.23270716282076401</c:v>
                </c:pt>
                <c:pt idx="196">
                  <c:v>0.22822281365847499</c:v>
                </c:pt>
                <c:pt idx="197">
                  <c:v>0.22078706803506901</c:v>
                </c:pt>
                <c:pt idx="198">
                  <c:v>0.21359185690765101</c:v>
                </c:pt>
                <c:pt idx="199">
                  <c:v>0.20676681225913701</c:v>
                </c:pt>
                <c:pt idx="200">
                  <c:v>0.199300617144718</c:v>
                </c:pt>
                <c:pt idx="201">
                  <c:v>0.18980486917790901</c:v>
                </c:pt>
                <c:pt idx="202">
                  <c:v>0.18222914072118501</c:v>
                </c:pt>
                <c:pt idx="203">
                  <c:v>0.177774837608977</c:v>
                </c:pt>
                <c:pt idx="204">
                  <c:v>0.17531930868196999</c:v>
                </c:pt>
                <c:pt idx="205">
                  <c:v>0.17181496625714199</c:v>
                </c:pt>
                <c:pt idx="206">
                  <c:v>0.16971222875542699</c:v>
                </c:pt>
                <c:pt idx="207">
                  <c:v>0.16833752879672201</c:v>
                </c:pt>
                <c:pt idx="208">
                  <c:v>0.16828025570000099</c:v>
                </c:pt>
                <c:pt idx="209">
                  <c:v>0.169937410839062</c:v>
                </c:pt>
                <c:pt idx="210">
                  <c:v>0.16958723209903601</c:v>
                </c:pt>
                <c:pt idx="211">
                  <c:v>0.17001579113075099</c:v>
                </c:pt>
                <c:pt idx="212">
                  <c:v>0.169851961660343</c:v>
                </c:pt>
                <c:pt idx="213">
                  <c:v>0.17279161497805501</c:v>
                </c:pt>
                <c:pt idx="214">
                  <c:v>0.17206547807188999</c:v>
                </c:pt>
                <c:pt idx="215">
                  <c:v>0.16959136075549799</c:v>
                </c:pt>
                <c:pt idx="216">
                  <c:v>0.16728590869719201</c:v>
                </c:pt>
                <c:pt idx="217">
                  <c:v>0.16494005930258601</c:v>
                </c:pt>
                <c:pt idx="218">
                  <c:v>0.16246874308453399</c:v>
                </c:pt>
                <c:pt idx="219">
                  <c:v>0.15796680820940601</c:v>
                </c:pt>
                <c:pt idx="220">
                  <c:v>0.15476962467102101</c:v>
                </c:pt>
                <c:pt idx="221">
                  <c:v>0.15078053802753699</c:v>
                </c:pt>
                <c:pt idx="222">
                  <c:v>0.146662684271575</c:v>
                </c:pt>
                <c:pt idx="223">
                  <c:v>0.143741579460231</c:v>
                </c:pt>
                <c:pt idx="224">
                  <c:v>0.14161532644913599</c:v>
                </c:pt>
                <c:pt idx="225">
                  <c:v>0.139949964281155</c:v>
                </c:pt>
                <c:pt idx="226">
                  <c:v>0.141926496379116</c:v>
                </c:pt>
                <c:pt idx="227">
                  <c:v>0.14492249714647601</c:v>
                </c:pt>
                <c:pt idx="228">
                  <c:v>0.147785902511541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8-48F1-9610-C7E2A097F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59264"/>
        <c:axId val="-1236756544"/>
      </c:lineChart>
      <c:dateAx>
        <c:axId val="-123675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6544"/>
        <c:crosses val="autoZero"/>
        <c:auto val="1"/>
        <c:lblOffset val="100"/>
        <c:baseTimeUnit val="months"/>
      </c:dateAx>
      <c:valAx>
        <c:axId val="-123675654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crowd_ROE!$D$1</c:f>
              <c:strCache>
                <c:ptCount val="1"/>
                <c:pt idx="0">
                  <c:v>Top组Beta因子暴露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crowd_ROE!$A$27:$A$300</c:f>
              <c:numCache>
                <c:formatCode>m/d/yyyy</c:formatCode>
                <c:ptCount val="274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crowd_ROE!$D$27:$D$300</c:f>
              <c:numCache>
                <c:formatCode>General</c:formatCode>
                <c:ptCount val="274"/>
                <c:pt idx="0">
                  <c:v>9.7693211633336496E-2</c:v>
                </c:pt>
                <c:pt idx="1">
                  <c:v>1.0778834348731199E-2</c:v>
                </c:pt>
                <c:pt idx="2">
                  <c:v>-5.6662761346452303E-2</c:v>
                </c:pt>
                <c:pt idx="3">
                  <c:v>-0.27366630992171498</c:v>
                </c:pt>
                <c:pt idx="4">
                  <c:v>-0.22025403204956701</c:v>
                </c:pt>
                <c:pt idx="5">
                  <c:v>-0.35151551514147999</c:v>
                </c:pt>
                <c:pt idx="6">
                  <c:v>-0.24558663974508799</c:v>
                </c:pt>
                <c:pt idx="7">
                  <c:v>-0.18567758369276</c:v>
                </c:pt>
                <c:pt idx="8">
                  <c:v>-2.6606630509794098E-2</c:v>
                </c:pt>
                <c:pt idx="9">
                  <c:v>4.6956269197363801E-2</c:v>
                </c:pt>
                <c:pt idx="10">
                  <c:v>0.17649477939584499</c:v>
                </c:pt>
                <c:pt idx="11">
                  <c:v>0.171391112400546</c:v>
                </c:pt>
                <c:pt idx="12">
                  <c:v>0.23455570407659701</c:v>
                </c:pt>
                <c:pt idx="13">
                  <c:v>0.31341886757495402</c:v>
                </c:pt>
                <c:pt idx="14">
                  <c:v>0.30862704999125901</c:v>
                </c:pt>
                <c:pt idx="15">
                  <c:v>0.13135931772873199</c:v>
                </c:pt>
                <c:pt idx="16">
                  <c:v>0.15508355593607001</c:v>
                </c:pt>
                <c:pt idx="17">
                  <c:v>0.336045522518995</c:v>
                </c:pt>
                <c:pt idx="18">
                  <c:v>0.40394709214270702</c:v>
                </c:pt>
                <c:pt idx="19">
                  <c:v>0.52825763885250498</c:v>
                </c:pt>
                <c:pt idx="20">
                  <c:v>0.590745140325729</c:v>
                </c:pt>
                <c:pt idx="21">
                  <c:v>0.49928768530630202</c:v>
                </c:pt>
                <c:pt idx="22">
                  <c:v>0.63544467948925298</c:v>
                </c:pt>
                <c:pt idx="23">
                  <c:v>0.66399270296753798</c:v>
                </c:pt>
                <c:pt idx="24">
                  <c:v>0.78066765976221497</c:v>
                </c:pt>
                <c:pt idx="25">
                  <c:v>0.73140439647816602</c:v>
                </c:pt>
                <c:pt idx="26">
                  <c:v>0.65799795717776699</c:v>
                </c:pt>
                <c:pt idx="27">
                  <c:v>0.59593726202275799</c:v>
                </c:pt>
                <c:pt idx="28">
                  <c:v>0.78625275191722099</c:v>
                </c:pt>
                <c:pt idx="29">
                  <c:v>0.63489694918987105</c:v>
                </c:pt>
                <c:pt idx="30">
                  <c:v>0.53712552108498102</c:v>
                </c:pt>
                <c:pt idx="31">
                  <c:v>0.23461173504329899</c:v>
                </c:pt>
                <c:pt idx="32">
                  <c:v>0.36908630441326701</c:v>
                </c:pt>
                <c:pt idx="33">
                  <c:v>0.48646075375247899</c:v>
                </c:pt>
                <c:pt idx="34">
                  <c:v>0.42821392143342402</c:v>
                </c:pt>
                <c:pt idx="35">
                  <c:v>0.60576015181519405</c:v>
                </c:pt>
                <c:pt idx="36">
                  <c:v>0.73591692988379498</c:v>
                </c:pt>
                <c:pt idx="37">
                  <c:v>0.66958769968773102</c:v>
                </c:pt>
                <c:pt idx="38">
                  <c:v>0.786249204017334</c:v>
                </c:pt>
                <c:pt idx="39">
                  <c:v>0.61479700250860803</c:v>
                </c:pt>
                <c:pt idx="40">
                  <c:v>0.59169787560157505</c:v>
                </c:pt>
                <c:pt idx="41">
                  <c:v>0.57430356435351004</c:v>
                </c:pt>
                <c:pt idx="42">
                  <c:v>0.59862280640740195</c:v>
                </c:pt>
                <c:pt idx="43">
                  <c:v>0.34181715299085302</c:v>
                </c:pt>
                <c:pt idx="44">
                  <c:v>0.36337138325506402</c:v>
                </c:pt>
                <c:pt idx="45">
                  <c:v>0.40063086649954399</c:v>
                </c:pt>
                <c:pt idx="46">
                  <c:v>0.358844306375945</c:v>
                </c:pt>
                <c:pt idx="47">
                  <c:v>0.34144900665661199</c:v>
                </c:pt>
                <c:pt idx="48">
                  <c:v>0.26372237994161002</c:v>
                </c:pt>
                <c:pt idx="49">
                  <c:v>0.210254615098424</c:v>
                </c:pt>
                <c:pt idx="50">
                  <c:v>0.24897345653820399</c:v>
                </c:pt>
                <c:pt idx="51">
                  <c:v>0.19371472630088099</c:v>
                </c:pt>
                <c:pt idx="52">
                  <c:v>4.52181827002767E-2</c:v>
                </c:pt>
                <c:pt idx="53">
                  <c:v>6.1317566337609902E-2</c:v>
                </c:pt>
                <c:pt idx="54">
                  <c:v>0.13238470525335599</c:v>
                </c:pt>
                <c:pt idx="55">
                  <c:v>6.60125339449191E-2</c:v>
                </c:pt>
                <c:pt idx="56">
                  <c:v>-5.04038433595594E-2</c:v>
                </c:pt>
                <c:pt idx="57">
                  <c:v>9.0085657639957101E-2</c:v>
                </c:pt>
                <c:pt idx="58">
                  <c:v>7.5596218593335193E-2</c:v>
                </c:pt>
                <c:pt idx="59">
                  <c:v>4.41075320333639E-2</c:v>
                </c:pt>
                <c:pt idx="60">
                  <c:v>0.108094708058923</c:v>
                </c:pt>
                <c:pt idx="61">
                  <c:v>0.24034993371218799</c:v>
                </c:pt>
                <c:pt idx="62">
                  <c:v>0.12984796089540401</c:v>
                </c:pt>
                <c:pt idx="63">
                  <c:v>0.146713790202113</c:v>
                </c:pt>
                <c:pt idx="64">
                  <c:v>0.13019963115352701</c:v>
                </c:pt>
                <c:pt idx="65">
                  <c:v>9.6109097120557901E-2</c:v>
                </c:pt>
                <c:pt idx="66">
                  <c:v>8.4011865209987199E-2</c:v>
                </c:pt>
                <c:pt idx="67">
                  <c:v>-1.89767190358093E-2</c:v>
                </c:pt>
                <c:pt idx="68">
                  <c:v>-4.4385964512735E-2</c:v>
                </c:pt>
                <c:pt idx="69">
                  <c:v>-1.32320300169875E-2</c:v>
                </c:pt>
                <c:pt idx="70">
                  <c:v>-7.4124842840424005E-2</c:v>
                </c:pt>
                <c:pt idx="71">
                  <c:v>-0.53457829845930205</c:v>
                </c:pt>
                <c:pt idx="72">
                  <c:v>-0.57097259422075697</c:v>
                </c:pt>
                <c:pt idx="73">
                  <c:v>-0.52560619202624204</c:v>
                </c:pt>
                <c:pt idx="74">
                  <c:v>-0.48842635080449098</c:v>
                </c:pt>
                <c:pt idx="75">
                  <c:v>-0.366459400137228</c:v>
                </c:pt>
                <c:pt idx="76">
                  <c:v>-0.32330391251575602</c:v>
                </c:pt>
                <c:pt idx="77">
                  <c:v>-0.167688625243096</c:v>
                </c:pt>
                <c:pt idx="78">
                  <c:v>-9.9257266398152192E-3</c:v>
                </c:pt>
                <c:pt idx="79">
                  <c:v>6.5824283331333194E-2</c:v>
                </c:pt>
                <c:pt idx="80">
                  <c:v>-1.62586825286757E-2</c:v>
                </c:pt>
                <c:pt idx="81">
                  <c:v>-8.7950151268587295E-2</c:v>
                </c:pt>
                <c:pt idx="82">
                  <c:v>-0.150493247948746</c:v>
                </c:pt>
                <c:pt idx="83">
                  <c:v>-0.20855064476298499</c:v>
                </c:pt>
                <c:pt idx="84">
                  <c:v>-0.14984697214595799</c:v>
                </c:pt>
                <c:pt idx="85">
                  <c:v>-5.3523642259343002E-2</c:v>
                </c:pt>
                <c:pt idx="86">
                  <c:v>-4.3498309711500302E-2</c:v>
                </c:pt>
                <c:pt idx="87">
                  <c:v>-0.11210737817578</c:v>
                </c:pt>
                <c:pt idx="88">
                  <c:v>-9.9235813269697395E-2</c:v>
                </c:pt>
                <c:pt idx="89">
                  <c:v>-0.100667832410905</c:v>
                </c:pt>
                <c:pt idx="90">
                  <c:v>7.8112128087513798E-3</c:v>
                </c:pt>
                <c:pt idx="91">
                  <c:v>-3.2468699131667E-2</c:v>
                </c:pt>
                <c:pt idx="92">
                  <c:v>2.9987526211315799E-2</c:v>
                </c:pt>
                <c:pt idx="93">
                  <c:v>2.2820298186917502E-2</c:v>
                </c:pt>
                <c:pt idx="94">
                  <c:v>-3.1904729148323797E-2</c:v>
                </c:pt>
                <c:pt idx="95">
                  <c:v>1.35371524008397E-2</c:v>
                </c:pt>
                <c:pt idx="96">
                  <c:v>-2.5185799138722001E-3</c:v>
                </c:pt>
                <c:pt idx="97">
                  <c:v>2.6437276532924499E-2</c:v>
                </c:pt>
                <c:pt idx="98">
                  <c:v>0.10203720476773601</c:v>
                </c:pt>
                <c:pt idx="99">
                  <c:v>0.18365208170963199</c:v>
                </c:pt>
                <c:pt idx="100">
                  <c:v>3.3430888801848302E-2</c:v>
                </c:pt>
                <c:pt idx="101">
                  <c:v>9.0583696400718602E-2</c:v>
                </c:pt>
                <c:pt idx="102">
                  <c:v>0.11992098761523</c:v>
                </c:pt>
                <c:pt idx="103">
                  <c:v>0.111418880899079</c:v>
                </c:pt>
                <c:pt idx="104">
                  <c:v>8.6376142476492695E-2</c:v>
                </c:pt>
                <c:pt idx="105">
                  <c:v>0.34003802904742497</c:v>
                </c:pt>
                <c:pt idx="106">
                  <c:v>0.50612025140202099</c:v>
                </c:pt>
                <c:pt idx="107">
                  <c:v>0.46390063971735701</c:v>
                </c:pt>
                <c:pt idx="108">
                  <c:v>0.45261626967740098</c:v>
                </c:pt>
                <c:pt idx="109">
                  <c:v>0.243111218920528</c:v>
                </c:pt>
                <c:pt idx="110">
                  <c:v>0.37139549344356998</c:v>
                </c:pt>
                <c:pt idx="111">
                  <c:v>0.256823214940261</c:v>
                </c:pt>
                <c:pt idx="112">
                  <c:v>0.30965796954681102</c:v>
                </c:pt>
                <c:pt idx="113">
                  <c:v>0.51939570164412496</c:v>
                </c:pt>
                <c:pt idx="114">
                  <c:v>0.42709615888897301</c:v>
                </c:pt>
                <c:pt idx="115">
                  <c:v>0.48313644261861199</c:v>
                </c:pt>
                <c:pt idx="116">
                  <c:v>0.52669493856296801</c:v>
                </c:pt>
                <c:pt idx="117">
                  <c:v>0.43359667341799701</c:v>
                </c:pt>
                <c:pt idx="118">
                  <c:v>0.42784927625762098</c:v>
                </c:pt>
                <c:pt idx="119">
                  <c:v>0.41493202529948398</c:v>
                </c:pt>
                <c:pt idx="120">
                  <c:v>0.41866537771400902</c:v>
                </c:pt>
                <c:pt idx="121">
                  <c:v>0.15069915031640899</c:v>
                </c:pt>
                <c:pt idx="122">
                  <c:v>7.7050417397423202E-2</c:v>
                </c:pt>
                <c:pt idx="123">
                  <c:v>0.155118177126534</c:v>
                </c:pt>
                <c:pt idx="124">
                  <c:v>0.26001119718905302</c:v>
                </c:pt>
                <c:pt idx="125">
                  <c:v>0.25923975973916102</c:v>
                </c:pt>
                <c:pt idx="126">
                  <c:v>0.28711431968654699</c:v>
                </c:pt>
                <c:pt idx="127">
                  <c:v>0.237521287110527</c:v>
                </c:pt>
                <c:pt idx="128">
                  <c:v>0.190275694947526</c:v>
                </c:pt>
                <c:pt idx="129">
                  <c:v>0.100442148509094</c:v>
                </c:pt>
                <c:pt idx="130">
                  <c:v>0.164880774964761</c:v>
                </c:pt>
                <c:pt idx="131">
                  <c:v>0.242813628850792</c:v>
                </c:pt>
                <c:pt idx="132">
                  <c:v>0.237551388157627</c:v>
                </c:pt>
                <c:pt idx="133">
                  <c:v>0.17513177205620301</c:v>
                </c:pt>
                <c:pt idx="134">
                  <c:v>0.15788443896523599</c:v>
                </c:pt>
                <c:pt idx="135">
                  <c:v>0.27323548334960301</c:v>
                </c:pt>
                <c:pt idx="136">
                  <c:v>0.314857071070546</c:v>
                </c:pt>
                <c:pt idx="137">
                  <c:v>0.13403404836993801</c:v>
                </c:pt>
                <c:pt idx="138">
                  <c:v>8.6013383169107602E-2</c:v>
                </c:pt>
                <c:pt idx="139">
                  <c:v>-9.5446221266378695E-2</c:v>
                </c:pt>
                <c:pt idx="140">
                  <c:v>1.31847069022933E-2</c:v>
                </c:pt>
                <c:pt idx="141">
                  <c:v>0.15201599589166101</c:v>
                </c:pt>
                <c:pt idx="142">
                  <c:v>0.21257059071197701</c:v>
                </c:pt>
                <c:pt idx="143">
                  <c:v>0.13795943523886101</c:v>
                </c:pt>
                <c:pt idx="144">
                  <c:v>0.172869890954364</c:v>
                </c:pt>
                <c:pt idx="145">
                  <c:v>0.178633445728691</c:v>
                </c:pt>
                <c:pt idx="146">
                  <c:v>0.27414014463387598</c:v>
                </c:pt>
                <c:pt idx="147">
                  <c:v>0.43647070261554299</c:v>
                </c:pt>
                <c:pt idx="148">
                  <c:v>0.29449665342432102</c:v>
                </c:pt>
                <c:pt idx="149">
                  <c:v>0.28777019230928502</c:v>
                </c:pt>
                <c:pt idx="150">
                  <c:v>0.283204336972671</c:v>
                </c:pt>
                <c:pt idx="151">
                  <c:v>0.23666520532900701</c:v>
                </c:pt>
                <c:pt idx="152">
                  <c:v>0.20648024928766301</c:v>
                </c:pt>
                <c:pt idx="153">
                  <c:v>0.33018887570685002</c:v>
                </c:pt>
                <c:pt idx="154">
                  <c:v>0.346535639870308</c:v>
                </c:pt>
                <c:pt idx="155">
                  <c:v>0.30407805647217401</c:v>
                </c:pt>
                <c:pt idx="156">
                  <c:v>0.33909396070122999</c:v>
                </c:pt>
                <c:pt idx="157">
                  <c:v>0.34842505863867301</c:v>
                </c:pt>
                <c:pt idx="158">
                  <c:v>0.49598732830205899</c:v>
                </c:pt>
                <c:pt idx="159">
                  <c:v>0.48705167677982297</c:v>
                </c:pt>
                <c:pt idx="160">
                  <c:v>0.48125878392062899</c:v>
                </c:pt>
                <c:pt idx="161">
                  <c:v>0.471920077667834</c:v>
                </c:pt>
                <c:pt idx="162">
                  <c:v>0.47894906209979199</c:v>
                </c:pt>
                <c:pt idx="163">
                  <c:v>0.49762034521158499</c:v>
                </c:pt>
                <c:pt idx="164">
                  <c:v>0.49668794766681701</c:v>
                </c:pt>
                <c:pt idx="165">
                  <c:v>0.31761919124206101</c:v>
                </c:pt>
                <c:pt idx="166">
                  <c:v>0.33904372535072402</c:v>
                </c:pt>
                <c:pt idx="167">
                  <c:v>0.30286707625098602</c:v>
                </c:pt>
                <c:pt idx="168">
                  <c:v>0.27396870496442499</c:v>
                </c:pt>
                <c:pt idx="169">
                  <c:v>0.207926578934121</c:v>
                </c:pt>
                <c:pt idx="170">
                  <c:v>0.189298995003232</c:v>
                </c:pt>
                <c:pt idx="171">
                  <c:v>8.0951545722146995E-2</c:v>
                </c:pt>
                <c:pt idx="172">
                  <c:v>-0.25661082531350499</c:v>
                </c:pt>
                <c:pt idx="173">
                  <c:v>-0.209877665559903</c:v>
                </c:pt>
                <c:pt idx="174">
                  <c:v>-0.29688259891406998</c:v>
                </c:pt>
                <c:pt idx="175">
                  <c:v>-0.38274089188350602</c:v>
                </c:pt>
                <c:pt idx="176">
                  <c:v>-0.35096267759656202</c:v>
                </c:pt>
                <c:pt idx="177">
                  <c:v>-0.157243569449211</c:v>
                </c:pt>
                <c:pt idx="178">
                  <c:v>-0.179604123834711</c:v>
                </c:pt>
                <c:pt idx="179">
                  <c:v>-4.6832241337969503E-2</c:v>
                </c:pt>
                <c:pt idx="180">
                  <c:v>0.12665839929831901</c:v>
                </c:pt>
                <c:pt idx="181">
                  <c:v>9.63037833815409E-2</c:v>
                </c:pt>
                <c:pt idx="182">
                  <c:v>0.123433842941354</c:v>
                </c:pt>
                <c:pt idx="183">
                  <c:v>0.25776709241686502</c:v>
                </c:pt>
                <c:pt idx="184">
                  <c:v>0.30611219704499798</c:v>
                </c:pt>
                <c:pt idx="185">
                  <c:v>0.27922188158823102</c:v>
                </c:pt>
                <c:pt idx="186">
                  <c:v>0.39828177782599</c:v>
                </c:pt>
                <c:pt idx="187">
                  <c:v>0.52923582200597896</c:v>
                </c:pt>
                <c:pt idx="188">
                  <c:v>0.28125087111671199</c:v>
                </c:pt>
                <c:pt idx="189">
                  <c:v>0.24018027976548201</c:v>
                </c:pt>
                <c:pt idx="190">
                  <c:v>0.14259654493728799</c:v>
                </c:pt>
                <c:pt idx="191">
                  <c:v>0.23531688149923999</c:v>
                </c:pt>
                <c:pt idx="192">
                  <c:v>0.12927168858143501</c:v>
                </c:pt>
                <c:pt idx="193">
                  <c:v>9.4137105011359898E-2</c:v>
                </c:pt>
                <c:pt idx="194">
                  <c:v>2.4550970271195301E-2</c:v>
                </c:pt>
                <c:pt idx="195">
                  <c:v>9.5448003813824303E-2</c:v>
                </c:pt>
                <c:pt idx="196">
                  <c:v>7.5317348009314805E-2</c:v>
                </c:pt>
                <c:pt idx="197">
                  <c:v>4.6783810002585503E-2</c:v>
                </c:pt>
                <c:pt idx="198">
                  <c:v>7.7201545778775499E-2</c:v>
                </c:pt>
                <c:pt idx="199">
                  <c:v>-2.0032006240260501E-2</c:v>
                </c:pt>
                <c:pt idx="200">
                  <c:v>-4.8881229219289002E-2</c:v>
                </c:pt>
                <c:pt idx="201">
                  <c:v>9.5641741292338198E-2</c:v>
                </c:pt>
                <c:pt idx="202">
                  <c:v>0.16121090471154201</c:v>
                </c:pt>
                <c:pt idx="203">
                  <c:v>9.1369951595735799E-2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A-4238-84D2-1E3CD5D13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55456"/>
        <c:axId val="-1236777760"/>
      </c:lineChart>
      <c:dateAx>
        <c:axId val="-1236755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77760"/>
        <c:crosses val="autoZero"/>
        <c:auto val="1"/>
        <c:lblOffset val="100"/>
        <c:baseTimeUnit val="months"/>
      </c:dateAx>
      <c:valAx>
        <c:axId val="-123677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crowd_DP!$F$1</c:f>
              <c:strCache>
                <c:ptCount val="1"/>
                <c:pt idx="0">
                  <c:v>Top组近1月成交额/近3月成交额因子暴露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crowd_DP!$A$27:$A$300</c:f>
              <c:numCache>
                <c:formatCode>m/d/yyyy</c:formatCode>
                <c:ptCount val="274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crowd_DP!$F$27:$F$300</c:f>
              <c:numCache>
                <c:formatCode>General</c:formatCode>
                <c:ptCount val="274"/>
                <c:pt idx="0">
                  <c:v>9.8574449833199004E-2</c:v>
                </c:pt>
                <c:pt idx="1">
                  <c:v>0.1698011116291675</c:v>
                </c:pt>
                <c:pt idx="2">
                  <c:v>0.14642449803731053</c:v>
                </c:pt>
                <c:pt idx="3">
                  <c:v>0.1502819130091792</c:v>
                </c:pt>
                <c:pt idx="4">
                  <c:v>-1.3118420668321307E-3</c:v>
                </c:pt>
                <c:pt idx="5">
                  <c:v>-4.5368588161023661E-2</c:v>
                </c:pt>
                <c:pt idx="6">
                  <c:v>-7.9487917917936038E-2</c:v>
                </c:pt>
                <c:pt idx="7">
                  <c:v>-1.4852736001646848E-2</c:v>
                </c:pt>
                <c:pt idx="8">
                  <c:v>-1.6881646119616945E-2</c:v>
                </c:pt>
                <c:pt idx="9">
                  <c:v>-5.3408451586419645E-3</c:v>
                </c:pt>
                <c:pt idx="10">
                  <c:v>1.8654342917471336E-2</c:v>
                </c:pt>
                <c:pt idx="11">
                  <c:v>5.464495922946707E-2</c:v>
                </c:pt>
                <c:pt idx="12">
                  <c:v>9.8362401784660478E-2</c:v>
                </c:pt>
                <c:pt idx="13">
                  <c:v>0.10040817130877666</c:v>
                </c:pt>
                <c:pt idx="14">
                  <c:v>9.0901983459330996E-2</c:v>
                </c:pt>
                <c:pt idx="15">
                  <c:v>2.6572228722283233E-2</c:v>
                </c:pt>
                <c:pt idx="16">
                  <c:v>1.62378411583383E-2</c:v>
                </c:pt>
                <c:pt idx="17">
                  <c:v>5.045634460699177E-3</c:v>
                </c:pt>
                <c:pt idx="18">
                  <c:v>9.3762207736518138E-3</c:v>
                </c:pt>
                <c:pt idx="19">
                  <c:v>-3.3098731556181288E-2</c:v>
                </c:pt>
                <c:pt idx="20">
                  <c:v>-5.5138315564368372E-2</c:v>
                </c:pt>
                <c:pt idx="21">
                  <c:v>-6.9627876232689068E-2</c:v>
                </c:pt>
                <c:pt idx="22">
                  <c:v>-6.9016949866661806E-2</c:v>
                </c:pt>
                <c:pt idx="23">
                  <c:v>-4.901479612590217E-2</c:v>
                </c:pt>
                <c:pt idx="24">
                  <c:v>-4.000699085936793E-2</c:v>
                </c:pt>
                <c:pt idx="25">
                  <c:v>-2.9569203293516463E-2</c:v>
                </c:pt>
                <c:pt idx="26">
                  <c:v>-2.7661829116237074E-2</c:v>
                </c:pt>
                <c:pt idx="27">
                  <c:v>2.0659704933083532E-2</c:v>
                </c:pt>
                <c:pt idx="28">
                  <c:v>3.7035583121043367E-2</c:v>
                </c:pt>
                <c:pt idx="29">
                  <c:v>-6.5065392527721005E-3</c:v>
                </c:pt>
                <c:pt idx="30">
                  <c:v>-5.0569620236167401E-2</c:v>
                </c:pt>
                <c:pt idx="31">
                  <c:v>-3.4898143362865071E-2</c:v>
                </c:pt>
                <c:pt idx="32">
                  <c:v>4.0050295604039951E-3</c:v>
                </c:pt>
                <c:pt idx="33">
                  <c:v>7.5097708211796415E-3</c:v>
                </c:pt>
                <c:pt idx="34">
                  <c:v>-4.4992737795023748E-3</c:v>
                </c:pt>
                <c:pt idx="35">
                  <c:v>-3.1937861949412137E-2</c:v>
                </c:pt>
                <c:pt idx="36">
                  <c:v>-4.0482624451598052E-2</c:v>
                </c:pt>
                <c:pt idx="37">
                  <c:v>5.844627740822732E-3</c:v>
                </c:pt>
                <c:pt idx="38">
                  <c:v>7.7590928432330106E-2</c:v>
                </c:pt>
                <c:pt idx="39">
                  <c:v>9.5699252758201445E-2</c:v>
                </c:pt>
                <c:pt idx="40">
                  <c:v>2.7829114061056304E-2</c:v>
                </c:pt>
                <c:pt idx="41">
                  <c:v>-1.1587098264525595E-2</c:v>
                </c:pt>
                <c:pt idx="42">
                  <c:v>-6.2315363965053362E-2</c:v>
                </c:pt>
                <c:pt idx="43">
                  <c:v>-6.3106755977621665E-2</c:v>
                </c:pt>
                <c:pt idx="44">
                  <c:v>-5.3575634203538301E-2</c:v>
                </c:pt>
                <c:pt idx="45">
                  <c:v>-3.8927713082949678E-3</c:v>
                </c:pt>
                <c:pt idx="46">
                  <c:v>-6.5599544714529875E-2</c:v>
                </c:pt>
                <c:pt idx="47">
                  <c:v>-7.0795726804316714E-2</c:v>
                </c:pt>
                <c:pt idx="48">
                  <c:v>-8.7206969514215041E-2</c:v>
                </c:pt>
                <c:pt idx="49">
                  <c:v>2.8672747766499665E-3</c:v>
                </c:pt>
                <c:pt idx="50">
                  <c:v>-2.5325515777029702E-3</c:v>
                </c:pt>
                <c:pt idx="51">
                  <c:v>7.0316582733719367E-3</c:v>
                </c:pt>
                <c:pt idx="52">
                  <c:v>1.9702038299876337E-2</c:v>
                </c:pt>
                <c:pt idx="53">
                  <c:v>-2.9784338065343693E-2</c:v>
                </c:pt>
                <c:pt idx="54">
                  <c:v>-9.9519080563102269E-2</c:v>
                </c:pt>
                <c:pt idx="55">
                  <c:v>-8.3618454050739296E-2</c:v>
                </c:pt>
                <c:pt idx="56">
                  <c:v>-5.15604724945328E-2</c:v>
                </c:pt>
                <c:pt idx="57">
                  <c:v>8.838752233557368E-3</c:v>
                </c:pt>
                <c:pt idx="58">
                  <c:v>-6.9272921818590669E-2</c:v>
                </c:pt>
                <c:pt idx="59">
                  <c:v>-6.7561697288329503E-2</c:v>
                </c:pt>
                <c:pt idx="60">
                  <c:v>-5.6880616240949138E-2</c:v>
                </c:pt>
                <c:pt idx="61">
                  <c:v>4.7222315917286865E-2</c:v>
                </c:pt>
                <c:pt idx="62">
                  <c:v>1.8113792137047197E-2</c:v>
                </c:pt>
                <c:pt idx="63">
                  <c:v>-8.6287732320153351E-3</c:v>
                </c:pt>
                <c:pt idx="64">
                  <c:v>-7.0092400134456556E-2</c:v>
                </c:pt>
                <c:pt idx="65">
                  <c:v>-8.2743096609863218E-2</c:v>
                </c:pt>
                <c:pt idx="66">
                  <c:v>-2.3967487760904221E-2</c:v>
                </c:pt>
                <c:pt idx="67">
                  <c:v>-3.7484574664528203E-2</c:v>
                </c:pt>
                <c:pt idx="68">
                  <c:v>-2.3478552807108533E-2</c:v>
                </c:pt>
                <c:pt idx="69">
                  <c:v>-8.6205167557464324E-2</c:v>
                </c:pt>
                <c:pt idx="70">
                  <c:v>-8.6534002018309089E-2</c:v>
                </c:pt>
                <c:pt idx="71">
                  <c:v>-0.10316684010111243</c:v>
                </c:pt>
                <c:pt idx="72">
                  <c:v>-0.14675783558726996</c:v>
                </c:pt>
                <c:pt idx="73">
                  <c:v>-0.19100234988547601</c:v>
                </c:pt>
                <c:pt idx="74">
                  <c:v>-0.14759482394126891</c:v>
                </c:pt>
                <c:pt idx="75">
                  <c:v>-9.9381758398348466E-2</c:v>
                </c:pt>
                <c:pt idx="76">
                  <c:v>-7.5715221939992458E-2</c:v>
                </c:pt>
                <c:pt idx="77">
                  <c:v>-2.208483364745557E-2</c:v>
                </c:pt>
                <c:pt idx="78">
                  <c:v>-2.6240022951215733E-2</c:v>
                </c:pt>
                <c:pt idx="79">
                  <c:v>-4.2797666782620064E-4</c:v>
                </c:pt>
                <c:pt idx="80">
                  <c:v>-6.1068816867600934E-2</c:v>
                </c:pt>
                <c:pt idx="81">
                  <c:v>-3.5806476610943112E-2</c:v>
                </c:pt>
                <c:pt idx="82">
                  <c:v>-3.5971081376519172E-2</c:v>
                </c:pt>
                <c:pt idx="83">
                  <c:v>-1.7152558961161083E-3</c:v>
                </c:pt>
                <c:pt idx="84">
                  <c:v>-7.4026549014346013E-3</c:v>
                </c:pt>
                <c:pt idx="85">
                  <c:v>-2.5364242123577602E-2</c:v>
                </c:pt>
                <c:pt idx="86">
                  <c:v>1.6985289103411735E-2</c:v>
                </c:pt>
                <c:pt idx="87">
                  <c:v>6.1183746335776133E-2</c:v>
                </c:pt>
                <c:pt idx="88">
                  <c:v>8.0201930517955392E-2</c:v>
                </c:pt>
                <c:pt idx="89">
                  <c:v>1.1319420792787331E-2</c:v>
                </c:pt>
                <c:pt idx="90">
                  <c:v>4.1690397839128967E-3</c:v>
                </c:pt>
                <c:pt idx="91">
                  <c:v>2.82028485704327E-2</c:v>
                </c:pt>
                <c:pt idx="92">
                  <c:v>1.9119314184958571E-2</c:v>
                </c:pt>
                <c:pt idx="93">
                  <c:v>-3.1871192852341267E-2</c:v>
                </c:pt>
                <c:pt idx="94">
                  <c:v>-3.394284211248956E-2</c:v>
                </c:pt>
                <c:pt idx="95">
                  <c:v>-2.91116981500537E-2</c:v>
                </c:pt>
                <c:pt idx="96">
                  <c:v>-3.6991672075572572E-2</c:v>
                </c:pt>
                <c:pt idx="97">
                  <c:v>-7.7190158779639473E-2</c:v>
                </c:pt>
                <c:pt idx="98">
                  <c:v>-6.6078883507023609E-2</c:v>
                </c:pt>
                <c:pt idx="99">
                  <c:v>-3.3446814215941777E-2</c:v>
                </c:pt>
                <c:pt idx="100">
                  <c:v>4.0374766363605229E-2</c:v>
                </c:pt>
                <c:pt idx="101">
                  <c:v>6.3537330405406003E-2</c:v>
                </c:pt>
                <c:pt idx="102">
                  <c:v>4.775679452268957E-2</c:v>
                </c:pt>
                <c:pt idx="103">
                  <c:v>6.112209061260798E-3</c:v>
                </c:pt>
                <c:pt idx="104">
                  <c:v>-3.2943986234360838E-2</c:v>
                </c:pt>
                <c:pt idx="105">
                  <c:v>-6.2987049139362108E-2</c:v>
                </c:pt>
                <c:pt idx="106">
                  <c:v>-2.2168351069232668E-2</c:v>
                </c:pt>
                <c:pt idx="107">
                  <c:v>8.4908497021950245E-4</c:v>
                </c:pt>
                <c:pt idx="108">
                  <c:v>2.1302523860213678E-2</c:v>
                </c:pt>
                <c:pt idx="109">
                  <c:v>-6.1539226610536991E-2</c:v>
                </c:pt>
                <c:pt idx="110">
                  <c:v>-9.4681332810510832E-2</c:v>
                </c:pt>
                <c:pt idx="111">
                  <c:v>-8.3217746600984702E-2</c:v>
                </c:pt>
                <c:pt idx="112">
                  <c:v>-4.560194126493932E-2</c:v>
                </c:pt>
                <c:pt idx="113">
                  <c:v>3.6865704794377695E-2</c:v>
                </c:pt>
                <c:pt idx="114">
                  <c:v>5.4906870424079927E-2</c:v>
                </c:pt>
                <c:pt idx="115">
                  <c:v>3.7881746401032701E-2</c:v>
                </c:pt>
                <c:pt idx="116">
                  <c:v>-3.0410429876669171E-2</c:v>
                </c:pt>
                <c:pt idx="117">
                  <c:v>-5.0184464671266103E-2</c:v>
                </c:pt>
                <c:pt idx="118">
                  <c:v>-5.4773069092152203E-2</c:v>
                </c:pt>
                <c:pt idx="119">
                  <c:v>-1.4438986238474802E-2</c:v>
                </c:pt>
                <c:pt idx="120">
                  <c:v>5.2552609042608002E-3</c:v>
                </c:pt>
                <c:pt idx="121">
                  <c:v>9.1515031576458739E-2</c:v>
                </c:pt>
                <c:pt idx="122">
                  <c:v>0.10353745926042011</c:v>
                </c:pt>
                <c:pt idx="123">
                  <c:v>6.0097442890380236E-2</c:v>
                </c:pt>
                <c:pt idx="124">
                  <c:v>-3.2326393800780236E-2</c:v>
                </c:pt>
                <c:pt idx="125">
                  <c:v>-8.1321931587382504E-2</c:v>
                </c:pt>
                <c:pt idx="126">
                  <c:v>-6.4237931927913175E-2</c:v>
                </c:pt>
                <c:pt idx="127">
                  <c:v>-1.2723684337730403E-2</c:v>
                </c:pt>
                <c:pt idx="128">
                  <c:v>-1.0125209704517767E-2</c:v>
                </c:pt>
                <c:pt idx="129">
                  <c:v>-6.3267647036249321E-3</c:v>
                </c:pt>
                <c:pt idx="130">
                  <c:v>-1.6557604726888598E-2</c:v>
                </c:pt>
                <c:pt idx="131">
                  <c:v>-7.8129012032675665E-3</c:v>
                </c:pt>
                <c:pt idx="132">
                  <c:v>-1.4456454844694601E-2</c:v>
                </c:pt>
                <c:pt idx="133">
                  <c:v>-2.1920653928588104E-2</c:v>
                </c:pt>
                <c:pt idx="134">
                  <c:v>-2.3114967594935133E-2</c:v>
                </c:pt>
                <c:pt idx="135">
                  <c:v>-1.5450763004107299E-2</c:v>
                </c:pt>
                <c:pt idx="136">
                  <c:v>-7.6947574744139326E-3</c:v>
                </c:pt>
                <c:pt idx="137">
                  <c:v>-1.5250162510862865E-2</c:v>
                </c:pt>
                <c:pt idx="138">
                  <c:v>2.8524251702684199E-2</c:v>
                </c:pt>
                <c:pt idx="139">
                  <c:v>4.9706856836879325E-3</c:v>
                </c:pt>
                <c:pt idx="140">
                  <c:v>-2.8426835859017729E-2</c:v>
                </c:pt>
                <c:pt idx="141">
                  <c:v>-9.897055593241777E-2</c:v>
                </c:pt>
                <c:pt idx="142">
                  <c:v>-0.10363306919048022</c:v>
                </c:pt>
                <c:pt idx="143">
                  <c:v>-7.2236257238367796E-2</c:v>
                </c:pt>
                <c:pt idx="144">
                  <c:v>-7.1289243720766129E-2</c:v>
                </c:pt>
                <c:pt idx="145">
                  <c:v>-7.9247731790973289E-2</c:v>
                </c:pt>
                <c:pt idx="146">
                  <c:v>-7.8829857966314892E-2</c:v>
                </c:pt>
                <c:pt idx="147">
                  <c:v>-3.0732314426580771E-2</c:v>
                </c:pt>
                <c:pt idx="148">
                  <c:v>3.72943872062243E-2</c:v>
                </c:pt>
                <c:pt idx="149">
                  <c:v>2.0265320280090367E-2</c:v>
                </c:pt>
                <c:pt idx="150">
                  <c:v>-2.8291039230813431E-2</c:v>
                </c:pt>
                <c:pt idx="151">
                  <c:v>-1.9597586436364434E-2</c:v>
                </c:pt>
                <c:pt idx="152">
                  <c:v>8.2826420983004342E-2</c:v>
                </c:pt>
                <c:pt idx="153">
                  <c:v>0.12508785559967886</c:v>
                </c:pt>
                <c:pt idx="154">
                  <c:v>6.4314975375807173E-2</c:v>
                </c:pt>
                <c:pt idx="155">
                  <c:v>-2.4469972626466358E-2</c:v>
                </c:pt>
                <c:pt idx="156">
                  <c:v>1.9307587052865467E-2</c:v>
                </c:pt>
                <c:pt idx="157">
                  <c:v>2.9598492871179761E-2</c:v>
                </c:pt>
                <c:pt idx="158">
                  <c:v>-1.1408262712960433E-3</c:v>
                </c:pt>
                <c:pt idx="159">
                  <c:v>-4.5862474965944706E-2</c:v>
                </c:pt>
                <c:pt idx="160">
                  <c:v>-2.7756078948526469E-2</c:v>
                </c:pt>
                <c:pt idx="161">
                  <c:v>2.7496136295945401E-2</c:v>
                </c:pt>
                <c:pt idx="162">
                  <c:v>3.3939693210116063E-2</c:v>
                </c:pt>
                <c:pt idx="163">
                  <c:v>-6.302257982703066E-3</c:v>
                </c:pt>
                <c:pt idx="164">
                  <c:v>-6.2807637308598938E-2</c:v>
                </c:pt>
                <c:pt idx="165">
                  <c:v>-0.11405072360366859</c:v>
                </c:pt>
                <c:pt idx="166">
                  <c:v>-6.3648625705769138E-2</c:v>
                </c:pt>
                <c:pt idx="167">
                  <c:v>3.7854307484049533E-2</c:v>
                </c:pt>
                <c:pt idx="168">
                  <c:v>6.1474349825497702E-2</c:v>
                </c:pt>
                <c:pt idx="169">
                  <c:v>6.1254957334418901E-2</c:v>
                </c:pt>
                <c:pt idx="170">
                  <c:v>-1.2510904532023935E-2</c:v>
                </c:pt>
                <c:pt idx="171">
                  <c:v>-7.5531512198540041E-4</c:v>
                </c:pt>
                <c:pt idx="172">
                  <c:v>-5.537657822265496E-2</c:v>
                </c:pt>
                <c:pt idx="173">
                  <c:v>-0.1132551861667578</c:v>
                </c:pt>
                <c:pt idx="174">
                  <c:v>-0.16360840684920216</c:v>
                </c:pt>
                <c:pt idx="175">
                  <c:v>-9.6561293524608335E-2</c:v>
                </c:pt>
                <c:pt idx="176">
                  <c:v>2.3452300867838002E-2</c:v>
                </c:pt>
                <c:pt idx="177">
                  <c:v>8.2724475271826553E-2</c:v>
                </c:pt>
                <c:pt idx="178">
                  <c:v>5.4220783496249585E-2</c:v>
                </c:pt>
                <c:pt idx="179">
                  <c:v>1.1303097013143948E-2</c:v>
                </c:pt>
                <c:pt idx="180">
                  <c:v>1.4502929890282167E-2</c:v>
                </c:pt>
                <c:pt idx="181">
                  <c:v>5.0377592327424801E-2</c:v>
                </c:pt>
                <c:pt idx="182">
                  <c:v>5.0676895304111728E-2</c:v>
                </c:pt>
                <c:pt idx="183">
                  <c:v>6.1733193576285032E-2</c:v>
                </c:pt>
                <c:pt idx="184">
                  <c:v>5.1450374404705353E-2</c:v>
                </c:pt>
                <c:pt idx="185">
                  <c:v>4.1846821670326662E-2</c:v>
                </c:pt>
                <c:pt idx="186">
                  <c:v>8.1159142078321603E-2</c:v>
                </c:pt>
                <c:pt idx="187">
                  <c:v>0.11582933420730694</c:v>
                </c:pt>
                <c:pt idx="188">
                  <c:v>0.20117835583227203</c:v>
                </c:pt>
                <c:pt idx="189">
                  <c:v>0.19289331477079333</c:v>
                </c:pt>
                <c:pt idx="190">
                  <c:v>0.16982764230104033</c:v>
                </c:pt>
                <c:pt idx="191">
                  <c:v>0.12639156904473117</c:v>
                </c:pt>
                <c:pt idx="192">
                  <c:v>0.1338185253713515</c:v>
                </c:pt>
                <c:pt idx="193">
                  <c:v>0.12035018919099982</c:v>
                </c:pt>
                <c:pt idx="194">
                  <c:v>0.16056920544066633</c:v>
                </c:pt>
                <c:pt idx="195">
                  <c:v>0.18964119696200066</c:v>
                </c:pt>
                <c:pt idx="196">
                  <c:v>0.18638757720864765</c:v>
                </c:pt>
                <c:pt idx="197">
                  <c:v>0.12972264864356239</c:v>
                </c:pt>
                <c:pt idx="198">
                  <c:v>7.9970622956105408E-2</c:v>
                </c:pt>
                <c:pt idx="199">
                  <c:v>9.2602050908521402E-2</c:v>
                </c:pt>
                <c:pt idx="200">
                  <c:v>0.12593259580709801</c:v>
                </c:pt>
                <c:pt idx="201">
                  <c:v>0.14977401050334235</c:v>
                </c:pt>
                <c:pt idx="202">
                  <c:v>0.24554389909694632</c:v>
                </c:pt>
                <c:pt idx="203">
                  <c:v>0.18396671811219042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1-4584-ACF3-4C6892973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58720"/>
        <c:axId val="-1236763616"/>
      </c:lineChart>
      <c:dateAx>
        <c:axId val="-1236758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63616"/>
        <c:crosses val="autoZero"/>
        <c:auto val="1"/>
        <c:lblOffset val="100"/>
        <c:baseTimeUnit val="months"/>
      </c:dateAx>
      <c:valAx>
        <c:axId val="-123676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nv_stra!$I$1</c:f>
              <c:strCache>
                <c:ptCount val="1"/>
                <c:pt idx="0">
                  <c:v>预期成长策略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nv_stra!$I$16:$I$300</c:f>
              <c:numCache>
                <c:formatCode>General</c:formatCode>
                <c:ptCount val="285"/>
                <c:pt idx="0">
                  <c:v>1</c:v>
                </c:pt>
                <c:pt idx="1">
                  <c:v>1.09939563389244</c:v>
                </c:pt>
                <c:pt idx="2">
                  <c:v>1.32766031840943</c:v>
                </c:pt>
                <c:pt idx="3">
                  <c:v>1.4826045656623801</c:v>
                </c:pt>
                <c:pt idx="4">
                  <c:v>1.5227805775771399</c:v>
                </c:pt>
                <c:pt idx="5">
                  <c:v>1.5385696654148699</c:v>
                </c:pt>
                <c:pt idx="6">
                  <c:v>1.94138567620438</c:v>
                </c:pt>
                <c:pt idx="7">
                  <c:v>1.5981240778463</c:v>
                </c:pt>
                <c:pt idx="8">
                  <c:v>1.75151407844624</c:v>
                </c:pt>
                <c:pt idx="9">
                  <c:v>1.97498654965174</c:v>
                </c:pt>
                <c:pt idx="10">
                  <c:v>2.2807041240458799</c:v>
                </c:pt>
                <c:pt idx="11">
                  <c:v>2.3119873986249599</c:v>
                </c:pt>
                <c:pt idx="12">
                  <c:v>2.13901741675779</c:v>
                </c:pt>
                <c:pt idx="13">
                  <c:v>2.3069830988892401</c:v>
                </c:pt>
                <c:pt idx="14">
                  <c:v>2.3190983765682698</c:v>
                </c:pt>
                <c:pt idx="15">
                  <c:v>2.20142844417947</c:v>
                </c:pt>
                <c:pt idx="16">
                  <c:v>1.9595030768439401</c:v>
                </c:pt>
                <c:pt idx="17">
                  <c:v>1.74213131664092</c:v>
                </c:pt>
                <c:pt idx="18">
                  <c:v>2.02452255649923</c:v>
                </c:pt>
                <c:pt idx="19">
                  <c:v>2.0387859958883401</c:v>
                </c:pt>
                <c:pt idx="20">
                  <c:v>2.0330888431859599</c:v>
                </c:pt>
                <c:pt idx="21">
                  <c:v>2.40910790188987</c:v>
                </c:pt>
                <c:pt idx="22">
                  <c:v>2.1514963311533202</c:v>
                </c:pt>
                <c:pt idx="23">
                  <c:v>2.14233510081608</c:v>
                </c:pt>
                <c:pt idx="24">
                  <c:v>2.2797384735089401</c:v>
                </c:pt>
                <c:pt idx="25">
                  <c:v>2.4190070954260099</c:v>
                </c:pt>
                <c:pt idx="26">
                  <c:v>2.3307064735294598</c:v>
                </c:pt>
                <c:pt idx="27">
                  <c:v>2.38144455763147</c:v>
                </c:pt>
                <c:pt idx="28">
                  <c:v>2.0869484843068</c:v>
                </c:pt>
                <c:pt idx="29">
                  <c:v>2.1607682127803098</c:v>
                </c:pt>
                <c:pt idx="30">
                  <c:v>2.1981427272792202</c:v>
                </c:pt>
                <c:pt idx="31">
                  <c:v>2.0817606846672101</c:v>
                </c:pt>
                <c:pt idx="32">
                  <c:v>1.79095078339783</c:v>
                </c:pt>
                <c:pt idx="33">
                  <c:v>1.88595347721</c:v>
                </c:pt>
                <c:pt idx="34">
                  <c:v>1.7467211892363499</c:v>
                </c:pt>
                <c:pt idx="35">
                  <c:v>1.3538173495110499</c:v>
                </c:pt>
                <c:pt idx="36">
                  <c:v>1.4216347825151401</c:v>
                </c:pt>
                <c:pt idx="37">
                  <c:v>1.5543579382713599</c:v>
                </c:pt>
                <c:pt idx="38">
                  <c:v>1.41608065457965</c:v>
                </c:pt>
                <c:pt idx="39">
                  <c:v>1.5018406758382801</c:v>
                </c:pt>
                <c:pt idx="40">
                  <c:v>1.4185185011217101</c:v>
                </c:pt>
                <c:pt idx="41">
                  <c:v>1.2386140556482199</c:v>
                </c:pt>
                <c:pt idx="42">
                  <c:v>1.23717740856637</c:v>
                </c:pt>
                <c:pt idx="43">
                  <c:v>1.29274313912885</c:v>
                </c:pt>
                <c:pt idx="44">
                  <c:v>1.3982463812260899</c:v>
                </c:pt>
                <c:pt idx="45">
                  <c:v>1.3962984983645299</c:v>
                </c:pt>
                <c:pt idx="46">
                  <c:v>1.1800913474391199</c:v>
                </c:pt>
                <c:pt idx="47">
                  <c:v>1.38526125895907</c:v>
                </c:pt>
                <c:pt idx="48">
                  <c:v>1.6158923412078201</c:v>
                </c:pt>
                <c:pt idx="49">
                  <c:v>1.7444448948917499</c:v>
                </c:pt>
                <c:pt idx="50">
                  <c:v>1.77370292462784</c:v>
                </c:pt>
                <c:pt idx="51">
                  <c:v>1.7437597331454999</c:v>
                </c:pt>
                <c:pt idx="52">
                  <c:v>1.9718670886773599</c:v>
                </c:pt>
                <c:pt idx="53">
                  <c:v>1.6207054684758</c:v>
                </c:pt>
                <c:pt idx="54">
                  <c:v>1.74111815078084</c:v>
                </c:pt>
                <c:pt idx="55">
                  <c:v>1.86907460254033</c:v>
                </c:pt>
                <c:pt idx="56">
                  <c:v>1.98255156125221</c:v>
                </c:pt>
                <c:pt idx="57">
                  <c:v>1.9085579641394399</c:v>
                </c:pt>
                <c:pt idx="58">
                  <c:v>2.0800114439108799</c:v>
                </c:pt>
                <c:pt idx="59">
                  <c:v>2.0331374055806402</c:v>
                </c:pt>
                <c:pt idx="60">
                  <c:v>2.0408767765060598</c:v>
                </c:pt>
                <c:pt idx="61">
                  <c:v>2.1664956233018802</c:v>
                </c:pt>
                <c:pt idx="62">
                  <c:v>2.0085695971905202</c:v>
                </c:pt>
                <c:pt idx="63">
                  <c:v>1.9689657646299299</c:v>
                </c:pt>
                <c:pt idx="64">
                  <c:v>2.0224104786570698</c:v>
                </c:pt>
                <c:pt idx="65">
                  <c:v>2.1847756211252101</c:v>
                </c:pt>
                <c:pt idx="66">
                  <c:v>2.2780653189712599</c:v>
                </c:pt>
                <c:pt idx="67">
                  <c:v>2.4944110100964201</c:v>
                </c:pt>
                <c:pt idx="68">
                  <c:v>3.0521271987127401</c:v>
                </c:pt>
                <c:pt idx="69">
                  <c:v>3.1840529257974701</c:v>
                </c:pt>
                <c:pt idx="70">
                  <c:v>3.3994671189436598</c:v>
                </c:pt>
                <c:pt idx="71">
                  <c:v>3.3525164849954199</c:v>
                </c:pt>
                <c:pt idx="72">
                  <c:v>3.5641309029757799</c:v>
                </c:pt>
                <c:pt idx="73">
                  <c:v>3.7121597575429601</c:v>
                </c:pt>
                <c:pt idx="74">
                  <c:v>4.4792107029905397</c:v>
                </c:pt>
                <c:pt idx="75">
                  <c:v>5.6479555290295602</c:v>
                </c:pt>
                <c:pt idx="76">
                  <c:v>7.1291488781096799</c:v>
                </c:pt>
                <c:pt idx="77">
                  <c:v>6.06018360090171</c:v>
                </c:pt>
                <c:pt idx="78">
                  <c:v>5.1490867244841896</c:v>
                </c:pt>
                <c:pt idx="79">
                  <c:v>4.4980786556275802</c:v>
                </c:pt>
                <c:pt idx="80">
                  <c:v>3.8535035032006402</c:v>
                </c:pt>
                <c:pt idx="81">
                  <c:v>4.4933645222510403</c:v>
                </c:pt>
                <c:pt idx="82">
                  <c:v>4.8146084907979603</c:v>
                </c:pt>
                <c:pt idx="83">
                  <c:v>5.0892587527582602</c:v>
                </c:pt>
                <c:pt idx="84">
                  <c:v>3.3229082103516001</c:v>
                </c:pt>
                <c:pt idx="85">
                  <c:v>3.0433201110892898</c:v>
                </c:pt>
                <c:pt idx="86">
                  <c:v>3.7223426888491402</c:v>
                </c:pt>
                <c:pt idx="87">
                  <c:v>3.5784758076825902</c:v>
                </c:pt>
                <c:pt idx="88">
                  <c:v>3.6998158647491701</c:v>
                </c:pt>
                <c:pt idx="89">
                  <c:v>3.9505282538581499</c:v>
                </c:pt>
                <c:pt idx="90">
                  <c:v>3.9209628408057799</c:v>
                </c:pt>
                <c:pt idx="91">
                  <c:v>4.0192003580673603</c:v>
                </c:pt>
                <c:pt idx="92">
                  <c:v>3.9152812248284699</c:v>
                </c:pt>
                <c:pt idx="93">
                  <c:v>4.0531520833930799</c:v>
                </c:pt>
                <c:pt idx="94">
                  <c:v>4.1662473635349597</c:v>
                </c:pt>
                <c:pt idx="95">
                  <c:v>3.77712512115369</c:v>
                </c:pt>
                <c:pt idx="96">
                  <c:v>3.8556930258409698</c:v>
                </c:pt>
                <c:pt idx="97">
                  <c:v>4.0341259597491996</c:v>
                </c:pt>
                <c:pt idx="98">
                  <c:v>3.8798099073608201</c:v>
                </c:pt>
                <c:pt idx="99">
                  <c:v>3.7978366616710701</c:v>
                </c:pt>
                <c:pt idx="100">
                  <c:v>3.53644051027918</c:v>
                </c:pt>
                <c:pt idx="101">
                  <c:v>3.73890090062502</c:v>
                </c:pt>
                <c:pt idx="102">
                  <c:v>3.85350150377645</c:v>
                </c:pt>
                <c:pt idx="103">
                  <c:v>3.8926277969063201</c:v>
                </c:pt>
                <c:pt idx="104">
                  <c:v>4.0596979582022099</c:v>
                </c:pt>
                <c:pt idx="105">
                  <c:v>4.0029349575472297</c:v>
                </c:pt>
                <c:pt idx="106">
                  <c:v>3.8902841219280302</c:v>
                </c:pt>
                <c:pt idx="107">
                  <c:v>3.8479130523632699</c:v>
                </c:pt>
                <c:pt idx="108">
                  <c:v>3.8100130125588301</c:v>
                </c:pt>
                <c:pt idx="109">
                  <c:v>3.7213293591155301</c:v>
                </c:pt>
                <c:pt idx="110">
                  <c:v>3.8799771761765198</c:v>
                </c:pt>
                <c:pt idx="111">
                  <c:v>3.8197877961425299</c:v>
                </c:pt>
                <c:pt idx="112">
                  <c:v>3.7144834979455799</c:v>
                </c:pt>
                <c:pt idx="113">
                  <c:v>3.4150981916853</c:v>
                </c:pt>
                <c:pt idx="114">
                  <c:v>3.41095146697254</c:v>
                </c:pt>
                <c:pt idx="115">
                  <c:v>3.4460782529770801</c:v>
                </c:pt>
                <c:pt idx="116">
                  <c:v>3.5249661851392999</c:v>
                </c:pt>
                <c:pt idx="117">
                  <c:v>3.0996452001380099</c:v>
                </c:pt>
                <c:pt idx="118">
                  <c:v>3.2094507545849602</c:v>
                </c:pt>
                <c:pt idx="119">
                  <c:v>3.1206937093892302</c:v>
                </c:pt>
                <c:pt idx="120">
                  <c:v>3.1577488181579398</c:v>
                </c:pt>
                <c:pt idx="121">
                  <c:v>3.8324762793010199</c:v>
                </c:pt>
                <c:pt idx="122">
                  <c:v>4.2299778640918504</c:v>
                </c:pt>
                <c:pt idx="123">
                  <c:v>4.2832719748851904</c:v>
                </c:pt>
                <c:pt idx="124">
                  <c:v>3.7610091273947002</c:v>
                </c:pt>
                <c:pt idx="125">
                  <c:v>3.7299130537677501</c:v>
                </c:pt>
                <c:pt idx="126">
                  <c:v>3.7930416264646301</c:v>
                </c:pt>
                <c:pt idx="127">
                  <c:v>3.6535634160645398</c:v>
                </c:pt>
                <c:pt idx="128">
                  <c:v>3.4777149117087802</c:v>
                </c:pt>
                <c:pt idx="129">
                  <c:v>3.6337327715463998</c:v>
                </c:pt>
                <c:pt idx="130">
                  <c:v>3.5519762038269298</c:v>
                </c:pt>
                <c:pt idx="131">
                  <c:v>3.7095210944742298</c:v>
                </c:pt>
                <c:pt idx="132">
                  <c:v>3.7984547689241199</c:v>
                </c:pt>
                <c:pt idx="133">
                  <c:v>3.7813208186703098</c:v>
                </c:pt>
                <c:pt idx="134">
                  <c:v>3.80627537285535</c:v>
                </c:pt>
                <c:pt idx="135">
                  <c:v>3.9525991070226598</c:v>
                </c:pt>
                <c:pt idx="136">
                  <c:v>4.1685159235325902</c:v>
                </c:pt>
                <c:pt idx="137">
                  <c:v>4.5334857979554704</c:v>
                </c:pt>
                <c:pt idx="138">
                  <c:v>5.0720554066533197</c:v>
                </c:pt>
                <c:pt idx="139">
                  <c:v>4.9745582616203503</c:v>
                </c:pt>
                <c:pt idx="140">
                  <c:v>4.6386003855766003</c:v>
                </c:pt>
                <c:pt idx="141">
                  <c:v>4.6658449181324597</c:v>
                </c:pt>
                <c:pt idx="142">
                  <c:v>5.2167609985310799</c:v>
                </c:pt>
                <c:pt idx="143">
                  <c:v>5.74701626623877</c:v>
                </c:pt>
                <c:pt idx="144">
                  <c:v>6.3056662505422203</c:v>
                </c:pt>
                <c:pt idx="145">
                  <c:v>5.9536677297178597</c:v>
                </c:pt>
                <c:pt idx="146">
                  <c:v>6.0781209446267397</c:v>
                </c:pt>
                <c:pt idx="147">
                  <c:v>6.5713595795810802</c:v>
                </c:pt>
                <c:pt idx="148">
                  <c:v>6.89900394266476</c:v>
                </c:pt>
                <c:pt idx="149">
                  <c:v>6.98932070921974</c:v>
                </c:pt>
                <c:pt idx="150">
                  <c:v>8.0634524958857803</c:v>
                </c:pt>
                <c:pt idx="151">
                  <c:v>8.8082049649849008</c:v>
                </c:pt>
                <c:pt idx="152">
                  <c:v>8.1523326355348793</c:v>
                </c:pt>
                <c:pt idx="153">
                  <c:v>8.7893918741370101</c:v>
                </c:pt>
                <c:pt idx="154">
                  <c:v>9.0699469005933899</c:v>
                </c:pt>
                <c:pt idx="155">
                  <c:v>8.8303334237576703</c:v>
                </c:pt>
                <c:pt idx="156">
                  <c:v>8.0986887879756306</c:v>
                </c:pt>
                <c:pt idx="157">
                  <c:v>8.3315200677667107</c:v>
                </c:pt>
                <c:pt idx="158">
                  <c:v>7.4018609061352203</c:v>
                </c:pt>
                <c:pt idx="159">
                  <c:v>6.55696259050353</c:v>
                </c:pt>
                <c:pt idx="160">
                  <c:v>7.3465580084772402</c:v>
                </c:pt>
                <c:pt idx="161">
                  <c:v>8.5372636699439095</c:v>
                </c:pt>
                <c:pt idx="162">
                  <c:v>9.3981123393509804</c:v>
                </c:pt>
                <c:pt idx="163">
                  <c:v>9.3993520918109503</c:v>
                </c:pt>
                <c:pt idx="164">
                  <c:v>8.6479770246002197</c:v>
                </c:pt>
                <c:pt idx="165">
                  <c:v>8.8374018159225702</c:v>
                </c:pt>
                <c:pt idx="166">
                  <c:v>9.8945140885970204</c:v>
                </c:pt>
                <c:pt idx="167">
                  <c:v>9.8676849820456507</c:v>
                </c:pt>
                <c:pt idx="168">
                  <c:v>10.651673341581301</c:v>
                </c:pt>
                <c:pt idx="169">
                  <c:v>10.7390371348011</c:v>
                </c:pt>
                <c:pt idx="170">
                  <c:v>10.549969488940301</c:v>
                </c:pt>
                <c:pt idx="171">
                  <c:v>10.9900757977968</c:v>
                </c:pt>
                <c:pt idx="172">
                  <c:v>10.879380428786501</c:v>
                </c:pt>
                <c:pt idx="173">
                  <c:v>11.070147780078701</c:v>
                </c:pt>
                <c:pt idx="174">
                  <c:v>11.5028078125069</c:v>
                </c:pt>
                <c:pt idx="175">
                  <c:v>10.747998555426699</c:v>
                </c:pt>
                <c:pt idx="176">
                  <c:v>10.480733206343</c:v>
                </c:pt>
                <c:pt idx="177">
                  <c:v>10.2146161897772</c:v>
                </c:pt>
                <c:pt idx="178">
                  <c:v>10.318628072326099</c:v>
                </c:pt>
                <c:pt idx="179">
                  <c:v>10.182019933462801</c:v>
                </c:pt>
                <c:pt idx="180">
                  <c:v>8.7559873371159895</c:v>
                </c:pt>
                <c:pt idx="181">
                  <c:v>9.8699046230254197</c:v>
                </c:pt>
                <c:pt idx="182">
                  <c:v>10.1271446272772</c:v>
                </c:pt>
                <c:pt idx="183">
                  <c:v>10.270066601107599</c:v>
                </c:pt>
                <c:pt idx="184">
                  <c:v>10.334057692833399</c:v>
                </c:pt>
                <c:pt idx="185">
                  <c:v>9.9583962872523699</c:v>
                </c:pt>
                <c:pt idx="186">
                  <c:v>9.6695258059826905</c:v>
                </c:pt>
                <c:pt idx="187">
                  <c:v>9.1178249475050901</c:v>
                </c:pt>
                <c:pt idx="188">
                  <c:v>11.0872787418194</c:v>
                </c:pt>
                <c:pt idx="189">
                  <c:v>15.4139808083604</c:v>
                </c:pt>
                <c:pt idx="190">
                  <c:v>14.679230880180199</c:v>
                </c:pt>
                <c:pt idx="191">
                  <c:v>14.3098207200165</c:v>
                </c:pt>
                <c:pt idx="192">
                  <c:v>13.751754717634901</c:v>
                </c:pt>
                <c:pt idx="193">
                  <c:v>14.599036706542099</c:v>
                </c:pt>
                <c:pt idx="194">
                  <c:v>14.709746445988699</c:v>
                </c:pt>
                <c:pt idx="195">
                  <c:v>14.158371537216199</c:v>
                </c:pt>
                <c:pt idx="196">
                  <c:v>14.3640040739737</c:v>
                </c:pt>
                <c:pt idx="197">
                  <c:v>14.522606277175701</c:v>
                </c:pt>
                <c:pt idx="198">
                  <c:v>15.5314079911516</c:v>
                </c:pt>
                <c:pt idx="199">
                  <c:v>17.155393495612401</c:v>
                </c:pt>
                <c:pt idx="200">
                  <c:v>17.746708180755601</c:v>
                </c:pt>
                <c:pt idx="201">
                  <c:v>17.931468893649001</c:v>
                </c:pt>
                <c:pt idx="202">
                  <c:v>17.3103306410949</c:v>
                </c:pt>
                <c:pt idx="203">
                  <c:v>19.245480081859501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7-4AB3-BACB-DDE278B539B0}"/>
            </c:ext>
          </c:extLst>
        </c:ser>
        <c:ser>
          <c:idx val="1"/>
          <c:order val="1"/>
          <c:tx>
            <c:strRef>
              <c:f>nv_stra!$O$1</c:f>
              <c:strCache>
                <c:ptCount val="1"/>
                <c:pt idx="0">
                  <c:v>万得全A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nv_stra!$O$16:$O$300</c:f>
              <c:numCache>
                <c:formatCode>General</c:formatCode>
                <c:ptCount val="285"/>
                <c:pt idx="0">
                  <c:v>1</c:v>
                </c:pt>
                <c:pt idx="1">
                  <c:v>1.0719822903291396</c:v>
                </c:pt>
                <c:pt idx="2">
                  <c:v>1.2898282167894253</c:v>
                </c:pt>
                <c:pt idx="3">
                  <c:v>1.3777361611293817</c:v>
                </c:pt>
                <c:pt idx="4">
                  <c:v>1.44079483772383</c:v>
                </c:pt>
                <c:pt idx="5">
                  <c:v>1.5531642776062666</c:v>
                </c:pt>
                <c:pt idx="6">
                  <c:v>1.8073827243308827</c:v>
                </c:pt>
                <c:pt idx="7">
                  <c:v>1.5058545477675949</c:v>
                </c:pt>
                <c:pt idx="8">
                  <c:v>1.5690017523241682</c:v>
                </c:pt>
                <c:pt idx="9">
                  <c:v>1.7435257180700932</c:v>
                </c:pt>
                <c:pt idx="10">
                  <c:v>1.9692096523350262</c:v>
                </c:pt>
                <c:pt idx="11">
                  <c:v>2.004640681785621</c:v>
                </c:pt>
                <c:pt idx="12">
                  <c:v>1.900940947013702</c:v>
                </c:pt>
                <c:pt idx="13">
                  <c:v>2.0004298322614593</c:v>
                </c:pt>
                <c:pt idx="14">
                  <c:v>2.0506795300785687</c:v>
                </c:pt>
                <c:pt idx="15">
                  <c:v>1.912683147667257</c:v>
                </c:pt>
                <c:pt idx="16">
                  <c:v>1.7661742030210625</c:v>
                </c:pt>
                <c:pt idx="17">
                  <c:v>1.5998555262197731</c:v>
                </c:pt>
                <c:pt idx="18">
                  <c:v>1.8313672800206968</c:v>
                </c:pt>
                <c:pt idx="19">
                  <c:v>1.9498883067721315</c:v>
                </c:pt>
                <c:pt idx="20">
                  <c:v>1.9954860404375792</c:v>
                </c:pt>
                <c:pt idx="21">
                  <c:v>2.2229259652856035</c:v>
                </c:pt>
                <c:pt idx="22">
                  <c:v>2.1933163738123653</c:v>
                </c:pt>
                <c:pt idx="23">
                  <c:v>2.1508335304412647</c:v>
                </c:pt>
                <c:pt idx="24">
                  <c:v>2.0643732217375677</c:v>
                </c:pt>
                <c:pt idx="25">
                  <c:v>2.2481293289511646</c:v>
                </c:pt>
                <c:pt idx="26">
                  <c:v>2.2257585554212254</c:v>
                </c:pt>
                <c:pt idx="27">
                  <c:v>2.1765032267059881</c:v>
                </c:pt>
                <c:pt idx="28">
                  <c:v>2.0159308447985311</c:v>
                </c:pt>
                <c:pt idx="29">
                  <c:v>2.0780824731607344</c:v>
                </c:pt>
                <c:pt idx="30">
                  <c:v>2.0950079731236912</c:v>
                </c:pt>
                <c:pt idx="31">
                  <c:v>1.9976984528203674</c:v>
                </c:pt>
                <c:pt idx="32">
                  <c:v>1.7764406935726347</c:v>
                </c:pt>
                <c:pt idx="33">
                  <c:v>1.8492700467152248</c:v>
                </c:pt>
                <c:pt idx="34">
                  <c:v>1.7567215072113627</c:v>
                </c:pt>
                <c:pt idx="35">
                  <c:v>1.5258060090546806</c:v>
                </c:pt>
                <c:pt idx="36">
                  <c:v>1.561238181492153</c:v>
                </c:pt>
                <c:pt idx="37">
                  <c:v>1.725640936713974</c:v>
                </c:pt>
                <c:pt idx="38">
                  <c:v>1.5969926974734332</c:v>
                </c:pt>
                <c:pt idx="39">
                  <c:v>1.7082989751186333</c:v>
                </c:pt>
                <c:pt idx="40">
                  <c:v>1.7270627212032035</c:v>
                </c:pt>
                <c:pt idx="41">
                  <c:v>1.6147395877776267</c:v>
                </c:pt>
                <c:pt idx="42">
                  <c:v>1.4904800284551007</c:v>
                </c:pt>
                <c:pt idx="43">
                  <c:v>1.4769895205276014</c:v>
                </c:pt>
                <c:pt idx="44">
                  <c:v>1.5087923991219496</c:v>
                </c:pt>
                <c:pt idx="45">
                  <c:v>1.5044499849906368</c:v>
                </c:pt>
                <c:pt idx="46">
                  <c:v>1.3686595024988404</c:v>
                </c:pt>
                <c:pt idx="47">
                  <c:v>1.5820813548456081</c:v>
                </c:pt>
                <c:pt idx="48">
                  <c:v>1.6987547293384355</c:v>
                </c:pt>
                <c:pt idx="49">
                  <c:v>1.7523569598701141</c:v>
                </c:pt>
                <c:pt idx="50">
                  <c:v>1.6868142257705581</c:v>
                </c:pt>
                <c:pt idx="51">
                  <c:v>1.6358926127374511</c:v>
                </c:pt>
                <c:pt idx="52">
                  <c:v>1.8073929887433491</c:v>
                </c:pt>
                <c:pt idx="53">
                  <c:v>1.5271504808523328</c:v>
                </c:pt>
                <c:pt idx="54">
                  <c:v>1.5855943989224874</c:v>
                </c:pt>
                <c:pt idx="55">
                  <c:v>1.7206026248548003</c:v>
                </c:pt>
                <c:pt idx="56">
                  <c:v>1.7965309426789513</c:v>
                </c:pt>
                <c:pt idx="57">
                  <c:v>1.7500324680658323</c:v>
                </c:pt>
                <c:pt idx="58">
                  <c:v>1.8656139573475128</c:v>
                </c:pt>
                <c:pt idx="59">
                  <c:v>1.7951170261075289</c:v>
                </c:pt>
                <c:pt idx="60">
                  <c:v>1.7575062348442281</c:v>
                </c:pt>
                <c:pt idx="61">
                  <c:v>1.788423736998795</c:v>
                </c:pt>
                <c:pt idx="62">
                  <c:v>1.7592608498198201</c:v>
                </c:pt>
                <c:pt idx="63">
                  <c:v>1.7329602811079428</c:v>
                </c:pt>
                <c:pt idx="64">
                  <c:v>1.7472290775850561</c:v>
                </c:pt>
                <c:pt idx="65">
                  <c:v>1.8054514379741933</c:v>
                </c:pt>
                <c:pt idx="66">
                  <c:v>1.98110023711936</c:v>
                </c:pt>
                <c:pt idx="67">
                  <c:v>2.0632453179934331</c:v>
                </c:pt>
                <c:pt idx="68">
                  <c:v>2.2905494425474893</c:v>
                </c:pt>
                <c:pt idx="69">
                  <c:v>2.3465238755866396</c:v>
                </c:pt>
                <c:pt idx="70">
                  <c:v>2.4997510540328771</c:v>
                </c:pt>
                <c:pt idx="71">
                  <c:v>2.6337586757820066</c:v>
                </c:pt>
                <c:pt idx="72">
                  <c:v>2.765384274417928</c:v>
                </c:pt>
                <c:pt idx="73">
                  <c:v>2.9258509049464907</c:v>
                </c:pt>
                <c:pt idx="74">
                  <c:v>3.4889578790574189</c:v>
                </c:pt>
                <c:pt idx="75">
                  <c:v>4.1539581698924639</c:v>
                </c:pt>
                <c:pt idx="76">
                  <c:v>5.0059542173636791</c:v>
                </c:pt>
                <c:pt idx="77">
                  <c:v>4.5359640823574088</c:v>
                </c:pt>
                <c:pt idx="78">
                  <c:v>3.8375234542760102</c:v>
                </c:pt>
                <c:pt idx="79">
                  <c:v>3.260904057017743</c:v>
                </c:pt>
                <c:pt idx="80">
                  <c:v>3.0439468288390943</c:v>
                </c:pt>
                <c:pt idx="81">
                  <c:v>3.6047268790651321</c:v>
                </c:pt>
                <c:pt idx="82">
                  <c:v>3.8398163100361882</c:v>
                </c:pt>
                <c:pt idx="83">
                  <c:v>4.045228189521044</c:v>
                </c:pt>
                <c:pt idx="84">
                  <c:v>2.9081859566903403</c:v>
                </c:pt>
                <c:pt idx="85">
                  <c:v>2.8642194342891627</c:v>
                </c:pt>
                <c:pt idx="86">
                  <c:v>3.3492865493677462</c:v>
                </c:pt>
                <c:pt idx="87">
                  <c:v>3.3233642872363873</c:v>
                </c:pt>
                <c:pt idx="88">
                  <c:v>3.270086813121901</c:v>
                </c:pt>
                <c:pt idx="89">
                  <c:v>3.409796728415913</c:v>
                </c:pt>
                <c:pt idx="90">
                  <c:v>3.4677367958108758</c:v>
                </c:pt>
                <c:pt idx="91">
                  <c:v>3.6029449028086162</c:v>
                </c:pt>
                <c:pt idx="92">
                  <c:v>3.5509477875089517</c:v>
                </c:pt>
                <c:pt idx="93">
                  <c:v>3.67626999175963</c:v>
                </c:pt>
                <c:pt idx="94">
                  <c:v>3.800757704341958</c:v>
                </c:pt>
                <c:pt idx="95">
                  <c:v>3.6285765599025743</c:v>
                </c:pt>
                <c:pt idx="96">
                  <c:v>3.6516839983812797</c:v>
                </c:pt>
                <c:pt idx="97">
                  <c:v>3.7954191992180895</c:v>
                </c:pt>
                <c:pt idx="98">
                  <c:v>3.7501125722698263</c:v>
                </c:pt>
                <c:pt idx="99">
                  <c:v>3.5800011538899215</c:v>
                </c:pt>
                <c:pt idx="100">
                  <c:v>3.3814584413531374</c:v>
                </c:pt>
                <c:pt idx="101">
                  <c:v>3.534168728692777</c:v>
                </c:pt>
                <c:pt idx="102">
                  <c:v>3.5907200320488792</c:v>
                </c:pt>
                <c:pt idx="103">
                  <c:v>3.6960512926016404</c:v>
                </c:pt>
                <c:pt idx="104">
                  <c:v>3.767976386233256</c:v>
                </c:pt>
                <c:pt idx="105">
                  <c:v>3.7515889625005383</c:v>
                </c:pt>
                <c:pt idx="106">
                  <c:v>3.574193677197024</c:v>
                </c:pt>
                <c:pt idx="107">
                  <c:v>3.5591855249541156</c:v>
                </c:pt>
                <c:pt idx="108">
                  <c:v>3.5013223178983588</c:v>
                </c:pt>
                <c:pt idx="109">
                  <c:v>3.3738604508051386</c:v>
                </c:pt>
                <c:pt idx="110">
                  <c:v>3.4312537115909256</c:v>
                </c:pt>
                <c:pt idx="111">
                  <c:v>3.281802694345751</c:v>
                </c:pt>
                <c:pt idx="112">
                  <c:v>3.2636311970676029</c:v>
                </c:pt>
                <c:pt idx="113">
                  <c:v>2.9505362870227896</c:v>
                </c:pt>
                <c:pt idx="114">
                  <c:v>2.9519948808030834</c:v>
                </c:pt>
                <c:pt idx="115">
                  <c:v>2.7306732670111913</c:v>
                </c:pt>
                <c:pt idx="116">
                  <c:v>2.7372254222737795</c:v>
                </c:pt>
                <c:pt idx="117">
                  <c:v>2.4519934990822625</c:v>
                </c:pt>
                <c:pt idx="118">
                  <c:v>2.5435686897797565</c:v>
                </c:pt>
                <c:pt idx="119">
                  <c:v>2.4380510267922082</c:v>
                </c:pt>
                <c:pt idx="120">
                  <c:v>2.4381203773864875</c:v>
                </c:pt>
                <c:pt idx="121">
                  <c:v>2.9377593265624808</c:v>
                </c:pt>
                <c:pt idx="122">
                  <c:v>3.2015825761699412</c:v>
                </c:pt>
                <c:pt idx="123">
                  <c:v>3.1001829245297507</c:v>
                </c:pt>
                <c:pt idx="124">
                  <c:v>2.9242089522655705</c:v>
                </c:pt>
                <c:pt idx="125">
                  <c:v>2.963850186225863</c:v>
                </c:pt>
                <c:pt idx="126">
                  <c:v>2.9290570323526608</c:v>
                </c:pt>
                <c:pt idx="127">
                  <c:v>2.8922659573296357</c:v>
                </c:pt>
                <c:pt idx="128">
                  <c:v>2.9222174778707979</c:v>
                </c:pt>
                <c:pt idx="129">
                  <c:v>2.9129289040414506</c:v>
                </c:pt>
                <c:pt idx="130">
                  <c:v>2.8726215091241478</c:v>
                </c:pt>
                <c:pt idx="131">
                  <c:v>3.1186019000881045</c:v>
                </c:pt>
                <c:pt idx="132">
                  <c:v>3.1206867926143906</c:v>
                </c:pt>
                <c:pt idx="133">
                  <c:v>3.1282473216555053</c:v>
                </c:pt>
                <c:pt idx="134">
                  <c:v>2.9454187854209128</c:v>
                </c:pt>
                <c:pt idx="135">
                  <c:v>3.0661573257177133</c:v>
                </c:pt>
                <c:pt idx="136">
                  <c:v>3.1365573537787648</c:v>
                </c:pt>
                <c:pt idx="137">
                  <c:v>3.3575782613518217</c:v>
                </c:pt>
                <c:pt idx="138">
                  <c:v>3.8333283496536974</c:v>
                </c:pt>
                <c:pt idx="139">
                  <c:v>3.9340390903539579</c:v>
                </c:pt>
                <c:pt idx="140">
                  <c:v>3.6862442094979548</c:v>
                </c:pt>
                <c:pt idx="141">
                  <c:v>3.7184584535497502</c:v>
                </c:pt>
                <c:pt idx="142">
                  <c:v>3.878146057562577</c:v>
                </c:pt>
                <c:pt idx="143">
                  <c:v>3.9154633024365677</c:v>
                </c:pt>
                <c:pt idx="144">
                  <c:v>3.8339241724570852</c:v>
                </c:pt>
                <c:pt idx="145">
                  <c:v>3.8935611332519677</c:v>
                </c:pt>
                <c:pt idx="146">
                  <c:v>3.8517111994549129</c:v>
                </c:pt>
                <c:pt idx="147">
                  <c:v>3.917961118972991</c:v>
                </c:pt>
                <c:pt idx="148">
                  <c:v>4.1237118525407324</c:v>
                </c:pt>
                <c:pt idx="149">
                  <c:v>4.20974095435158</c:v>
                </c:pt>
                <c:pt idx="150">
                  <c:v>4.2147701398011455</c:v>
                </c:pt>
                <c:pt idx="151">
                  <c:v>4.5072440904772018</c:v>
                </c:pt>
                <c:pt idx="152">
                  <c:v>4.4038964248686865</c:v>
                </c:pt>
                <c:pt idx="153">
                  <c:v>4.368617878956603</c:v>
                </c:pt>
                <c:pt idx="154">
                  <c:v>4.5975027289301069</c:v>
                </c:pt>
                <c:pt idx="155">
                  <c:v>4.6865876662342272</c:v>
                </c:pt>
                <c:pt idx="156">
                  <c:v>4.2361713466269757</c:v>
                </c:pt>
                <c:pt idx="157">
                  <c:v>4.4022536363283029</c:v>
                </c:pt>
                <c:pt idx="158">
                  <c:v>4.0851625559089513</c:v>
                </c:pt>
                <c:pt idx="159">
                  <c:v>3.6276415643243594</c:v>
                </c:pt>
                <c:pt idx="160">
                  <c:v>3.9441775109707971</c:v>
                </c:pt>
                <c:pt idx="161">
                  <c:v>4.2905088334077517</c:v>
                </c:pt>
                <c:pt idx="162">
                  <c:v>4.2745562872887559</c:v>
                </c:pt>
                <c:pt idx="163">
                  <c:v>4.1651460978032411</c:v>
                </c:pt>
                <c:pt idx="164">
                  <c:v>3.8294862535036236</c:v>
                </c:pt>
                <c:pt idx="165">
                  <c:v>3.7770927581097569</c:v>
                </c:pt>
                <c:pt idx="166">
                  <c:v>4.0944497356808434</c:v>
                </c:pt>
                <c:pt idx="167">
                  <c:v>3.9789919927979036</c:v>
                </c:pt>
                <c:pt idx="168">
                  <c:v>4.2601537950640704</c:v>
                </c:pt>
                <c:pt idx="169">
                  <c:v>4.3465363668920691</c:v>
                </c:pt>
                <c:pt idx="170">
                  <c:v>4.2806698599622468</c:v>
                </c:pt>
                <c:pt idx="171">
                  <c:v>4.1789028487115383</c:v>
                </c:pt>
                <c:pt idx="172">
                  <c:v>4.0571900900615656</c:v>
                </c:pt>
                <c:pt idx="173">
                  <c:v>4.1663451581605413</c:v>
                </c:pt>
                <c:pt idx="174">
                  <c:v>4.2702558627451923</c:v>
                </c:pt>
                <c:pt idx="175">
                  <c:v>4.0238247041627311</c:v>
                </c:pt>
                <c:pt idx="176">
                  <c:v>3.993572664664665</c:v>
                </c:pt>
                <c:pt idx="177">
                  <c:v>3.8975229881642321</c:v>
                </c:pt>
                <c:pt idx="178">
                  <c:v>3.9499597210365298</c:v>
                </c:pt>
                <c:pt idx="179">
                  <c:v>3.8661336300849483</c:v>
                </c:pt>
                <c:pt idx="180">
                  <c:v>3.3398423684331022</c:v>
                </c:pt>
                <c:pt idx="181">
                  <c:v>3.633945423301471</c:v>
                </c:pt>
                <c:pt idx="182">
                  <c:v>3.716546719047221</c:v>
                </c:pt>
                <c:pt idx="183">
                  <c:v>3.7341065396049489</c:v>
                </c:pt>
                <c:pt idx="184">
                  <c:v>3.6824891921046068</c:v>
                </c:pt>
                <c:pt idx="185">
                  <c:v>3.4119960087137065</c:v>
                </c:pt>
                <c:pt idx="186">
                  <c:v>3.4168452104192828</c:v>
                </c:pt>
                <c:pt idx="187">
                  <c:v>3.2620674378549923</c:v>
                </c:pt>
                <c:pt idx="188">
                  <c:v>3.9934682930805145</c:v>
                </c:pt>
                <c:pt idx="189">
                  <c:v>4.2162965086704691</c:v>
                </c:pt>
                <c:pt idx="190">
                  <c:v>4.3159597348042666</c:v>
                </c:pt>
                <c:pt idx="191">
                  <c:v>4.1856778583004326</c:v>
                </c:pt>
                <c:pt idx="192">
                  <c:v>4.0907960068047142</c:v>
                </c:pt>
                <c:pt idx="193">
                  <c:v>4.2760317706419828</c:v>
                </c:pt>
                <c:pt idx="194">
                  <c:v>4.2728144644734014</c:v>
                </c:pt>
                <c:pt idx="195">
                  <c:v>4.1512922783484809</c:v>
                </c:pt>
                <c:pt idx="196">
                  <c:v>4.2943254526209191</c:v>
                </c:pt>
                <c:pt idx="197">
                  <c:v>4.4938943555058932</c:v>
                </c:pt>
                <c:pt idx="198">
                  <c:v>4.6781671446439095</c:v>
                </c:pt>
                <c:pt idx="199">
                  <c:v>5.1321618235831208</c:v>
                </c:pt>
                <c:pt idx="200">
                  <c:v>5.2244488189173097</c:v>
                </c:pt>
                <c:pt idx="201">
                  <c:v>5.2783723307399022</c:v>
                </c:pt>
                <c:pt idx="202">
                  <c:v>5.2267812512807534</c:v>
                </c:pt>
                <c:pt idx="203">
                  <c:v>5.4041252703176879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7-4AB3-BACB-DDE278B53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53280"/>
        <c:axId val="-1236776672"/>
      </c:lineChart>
      <c:dateAx>
        <c:axId val="-1236753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76672"/>
        <c:crosses val="autoZero"/>
        <c:auto val="1"/>
        <c:lblOffset val="100"/>
        <c:baseTimeUnit val="months"/>
      </c:dateAx>
      <c:valAx>
        <c:axId val="-123677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nv_stra!$J$1</c:f>
              <c:strCache>
                <c:ptCount val="1"/>
                <c:pt idx="0">
                  <c:v>实际成长策略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nv_stra!$J$16:$J$300</c:f>
              <c:numCache>
                <c:formatCode>General</c:formatCode>
                <c:ptCount val="285"/>
                <c:pt idx="0">
                  <c:v>1</c:v>
                </c:pt>
                <c:pt idx="1">
                  <c:v>1.07752724125348</c:v>
                </c:pt>
                <c:pt idx="2">
                  <c:v>1.26008682989978</c:v>
                </c:pt>
                <c:pt idx="3">
                  <c:v>1.36398416472406</c:v>
                </c:pt>
                <c:pt idx="4">
                  <c:v>1.47304588618226</c:v>
                </c:pt>
                <c:pt idx="5">
                  <c:v>1.5265618318826899</c:v>
                </c:pt>
                <c:pt idx="6">
                  <c:v>1.7435041615945299</c:v>
                </c:pt>
                <c:pt idx="7">
                  <c:v>1.5588672448713801</c:v>
                </c:pt>
                <c:pt idx="8">
                  <c:v>1.66679463635825</c:v>
                </c:pt>
                <c:pt idx="9">
                  <c:v>1.8107852134887299</c:v>
                </c:pt>
                <c:pt idx="10">
                  <c:v>2.0276296809726801</c:v>
                </c:pt>
                <c:pt idx="11">
                  <c:v>2.1523353454726899</c:v>
                </c:pt>
                <c:pt idx="12">
                  <c:v>2.06182523020891</c:v>
                </c:pt>
                <c:pt idx="13">
                  <c:v>2.1700627266290899</c:v>
                </c:pt>
                <c:pt idx="14">
                  <c:v>2.1842825669990802</c:v>
                </c:pt>
                <c:pt idx="15">
                  <c:v>2.0690139222586099</c:v>
                </c:pt>
                <c:pt idx="16">
                  <c:v>1.89201371466527</c:v>
                </c:pt>
                <c:pt idx="17">
                  <c:v>1.77999064746173</c:v>
                </c:pt>
                <c:pt idx="18">
                  <c:v>2.0087301497431</c:v>
                </c:pt>
                <c:pt idx="19">
                  <c:v>2.1063310539070899</c:v>
                </c:pt>
                <c:pt idx="20">
                  <c:v>2.1764451701480398</c:v>
                </c:pt>
                <c:pt idx="21">
                  <c:v>2.5085024874573798</c:v>
                </c:pt>
                <c:pt idx="22">
                  <c:v>2.7406569342190998</c:v>
                </c:pt>
                <c:pt idx="23">
                  <c:v>2.6849735047460102</c:v>
                </c:pt>
                <c:pt idx="24">
                  <c:v>2.7615044151014998</c:v>
                </c:pt>
                <c:pt idx="25">
                  <c:v>3.2459073800269</c:v>
                </c:pt>
                <c:pt idx="26">
                  <c:v>3.2301170347237602</c:v>
                </c:pt>
                <c:pt idx="27">
                  <c:v>3.1118918008728098</c:v>
                </c:pt>
                <c:pt idx="28">
                  <c:v>2.8799393176052899</c:v>
                </c:pt>
                <c:pt idx="29">
                  <c:v>3.1201863663145799</c:v>
                </c:pt>
                <c:pt idx="30">
                  <c:v>3.0450641298597501</c:v>
                </c:pt>
                <c:pt idx="31">
                  <c:v>2.7600269433225</c:v>
                </c:pt>
                <c:pt idx="32">
                  <c:v>2.31639515258155</c:v>
                </c:pt>
                <c:pt idx="33">
                  <c:v>2.5225499478261102</c:v>
                </c:pt>
                <c:pt idx="34">
                  <c:v>2.5468298402258198</c:v>
                </c:pt>
                <c:pt idx="35">
                  <c:v>2.3193882378159598</c:v>
                </c:pt>
                <c:pt idx="36">
                  <c:v>2.36178678335096</c:v>
                </c:pt>
                <c:pt idx="37">
                  <c:v>2.7118026660162</c:v>
                </c:pt>
                <c:pt idx="38">
                  <c:v>2.4608649384152499</c:v>
                </c:pt>
                <c:pt idx="39">
                  <c:v>2.5573768042524998</c:v>
                </c:pt>
                <c:pt idx="40">
                  <c:v>2.5032288620097001</c:v>
                </c:pt>
                <c:pt idx="41">
                  <c:v>2.3070875490969498</c:v>
                </c:pt>
                <c:pt idx="42">
                  <c:v>2.2954499144723601</c:v>
                </c:pt>
                <c:pt idx="43">
                  <c:v>2.4054207010428001</c:v>
                </c:pt>
                <c:pt idx="44">
                  <c:v>2.3557973990032202</c:v>
                </c:pt>
                <c:pt idx="45">
                  <c:v>2.3915877766236902</c:v>
                </c:pt>
                <c:pt idx="46">
                  <c:v>2.1358392781792102</c:v>
                </c:pt>
                <c:pt idx="47">
                  <c:v>2.53068243297386</c:v>
                </c:pt>
                <c:pt idx="48">
                  <c:v>2.9397140277472098</c:v>
                </c:pt>
                <c:pt idx="49">
                  <c:v>3.07208968749985</c:v>
                </c:pt>
                <c:pt idx="50">
                  <c:v>3.1198619214668502</c:v>
                </c:pt>
                <c:pt idx="51">
                  <c:v>3.0382218257208802</c:v>
                </c:pt>
                <c:pt idx="52">
                  <c:v>3.2122142127764199</c:v>
                </c:pt>
                <c:pt idx="53">
                  <c:v>2.7316616311630302</c:v>
                </c:pt>
                <c:pt idx="54">
                  <c:v>2.6149383179461001</c:v>
                </c:pt>
                <c:pt idx="55">
                  <c:v>2.8567830633963598</c:v>
                </c:pt>
                <c:pt idx="56">
                  <c:v>3.4609603161176001</c:v>
                </c:pt>
                <c:pt idx="57">
                  <c:v>2.9315186535982298</c:v>
                </c:pt>
                <c:pt idx="58">
                  <c:v>3.2856577956712201</c:v>
                </c:pt>
                <c:pt idx="59">
                  <c:v>3.1065472725108001</c:v>
                </c:pt>
                <c:pt idx="60">
                  <c:v>3.30389997341782</c:v>
                </c:pt>
                <c:pt idx="61">
                  <c:v>3.45923358434748</c:v>
                </c:pt>
                <c:pt idx="62">
                  <c:v>3.3874811024820102</c:v>
                </c:pt>
                <c:pt idx="63">
                  <c:v>3.2386176583108899</c:v>
                </c:pt>
                <c:pt idx="64">
                  <c:v>3.3250379498920002</c:v>
                </c:pt>
                <c:pt idx="65">
                  <c:v>3.3428792834729499</c:v>
                </c:pt>
                <c:pt idx="66">
                  <c:v>3.7460675102525598</c:v>
                </c:pt>
                <c:pt idx="67">
                  <c:v>3.7399092659917699</c:v>
                </c:pt>
                <c:pt idx="68">
                  <c:v>4.7410934211264602</c:v>
                </c:pt>
                <c:pt idx="69">
                  <c:v>5.1514636710885</c:v>
                </c:pt>
                <c:pt idx="70">
                  <c:v>5.2994711511858297</c:v>
                </c:pt>
                <c:pt idx="71">
                  <c:v>5.5522055738919098</c:v>
                </c:pt>
                <c:pt idx="72">
                  <c:v>5.9997961801686204</c:v>
                </c:pt>
                <c:pt idx="73">
                  <c:v>6.2182973228480396</c:v>
                </c:pt>
                <c:pt idx="74">
                  <c:v>7.5186692412702101</c:v>
                </c:pt>
                <c:pt idx="75">
                  <c:v>8.6656243577715504</c:v>
                </c:pt>
                <c:pt idx="76">
                  <c:v>12.049052963647799</c:v>
                </c:pt>
                <c:pt idx="77">
                  <c:v>10.573412483689401</c:v>
                </c:pt>
                <c:pt idx="78">
                  <c:v>9.2826347839677901</c:v>
                </c:pt>
                <c:pt idx="79">
                  <c:v>8.15060908207845</c:v>
                </c:pt>
                <c:pt idx="80">
                  <c:v>8.2260292609191801</c:v>
                </c:pt>
                <c:pt idx="81">
                  <c:v>9.8555871463825699</c:v>
                </c:pt>
                <c:pt idx="82">
                  <c:v>10.365018300173601</c:v>
                </c:pt>
                <c:pt idx="83">
                  <c:v>11.3742274206997</c:v>
                </c:pt>
                <c:pt idx="84">
                  <c:v>8.5226324715854904</c:v>
                </c:pt>
                <c:pt idx="85">
                  <c:v>8.1950691844872399</c:v>
                </c:pt>
                <c:pt idx="86">
                  <c:v>9.6165160923144892</c:v>
                </c:pt>
                <c:pt idx="87">
                  <c:v>9.4847261062705801</c:v>
                </c:pt>
                <c:pt idx="88">
                  <c:v>9.4154196457399806</c:v>
                </c:pt>
                <c:pt idx="89">
                  <c:v>10.3106575616833</c:v>
                </c:pt>
                <c:pt idx="90">
                  <c:v>10.2975815099066</c:v>
                </c:pt>
                <c:pt idx="91">
                  <c:v>10.927335870982599</c:v>
                </c:pt>
                <c:pt idx="92">
                  <c:v>10.6007908552714</c:v>
                </c:pt>
                <c:pt idx="93">
                  <c:v>10.928454369053901</c:v>
                </c:pt>
                <c:pt idx="94">
                  <c:v>11.1009203701428</c:v>
                </c:pt>
                <c:pt idx="95">
                  <c:v>10.7581613977878</c:v>
                </c:pt>
                <c:pt idx="96">
                  <c:v>10.5532791499061</c:v>
                </c:pt>
                <c:pt idx="97">
                  <c:v>10.878085066059</c:v>
                </c:pt>
                <c:pt idx="98">
                  <c:v>10.9421768261121</c:v>
                </c:pt>
                <c:pt idx="99">
                  <c:v>10.212972081177501</c:v>
                </c:pt>
                <c:pt idx="100">
                  <c:v>9.6139947676255098</c:v>
                </c:pt>
                <c:pt idx="101">
                  <c:v>10.1751253732394</c:v>
                </c:pt>
                <c:pt idx="102">
                  <c:v>10.5390278730864</c:v>
                </c:pt>
                <c:pt idx="103">
                  <c:v>10.8405569917586</c:v>
                </c:pt>
                <c:pt idx="104">
                  <c:v>11.008120775395801</c:v>
                </c:pt>
                <c:pt idx="105">
                  <c:v>10.5510325890101</c:v>
                </c:pt>
                <c:pt idx="106">
                  <c:v>10.269545733468901</c:v>
                </c:pt>
                <c:pt idx="107">
                  <c:v>10.4312552852015</c:v>
                </c:pt>
                <c:pt idx="108">
                  <c:v>10.3321596846513</c:v>
                </c:pt>
                <c:pt idx="109">
                  <c:v>9.67711470938292</c:v>
                </c:pt>
                <c:pt idx="110">
                  <c:v>9.4980988243350701</c:v>
                </c:pt>
                <c:pt idx="111">
                  <c:v>9.1417041407368007</c:v>
                </c:pt>
                <c:pt idx="112">
                  <c:v>9.5208578387684106</c:v>
                </c:pt>
                <c:pt idx="113">
                  <c:v>8.6509242370875707</c:v>
                </c:pt>
                <c:pt idx="114">
                  <c:v>8.6248677388582191</c:v>
                </c:pt>
                <c:pt idx="115">
                  <c:v>7.9366470972280796</c:v>
                </c:pt>
                <c:pt idx="116">
                  <c:v>8.2247105702317693</c:v>
                </c:pt>
                <c:pt idx="117">
                  <c:v>7.2600616273413197</c:v>
                </c:pt>
                <c:pt idx="118">
                  <c:v>7.6005944527897302</c:v>
                </c:pt>
                <c:pt idx="119">
                  <c:v>7.2440360723945698</c:v>
                </c:pt>
                <c:pt idx="120">
                  <c:v>6.7355420148668896</c:v>
                </c:pt>
                <c:pt idx="121">
                  <c:v>8.9023834226565999</c:v>
                </c:pt>
                <c:pt idx="122">
                  <c:v>10.043789931096599</c:v>
                </c:pt>
                <c:pt idx="123">
                  <c:v>9.3812061464667806</c:v>
                </c:pt>
                <c:pt idx="124">
                  <c:v>8.9041288882402103</c:v>
                </c:pt>
                <c:pt idx="125">
                  <c:v>8.9622148152730698</c:v>
                </c:pt>
                <c:pt idx="126">
                  <c:v>8.9180353164889201</c:v>
                </c:pt>
                <c:pt idx="127">
                  <c:v>8.7565014088462902</c:v>
                </c:pt>
                <c:pt idx="128">
                  <c:v>8.8329778088236495</c:v>
                </c:pt>
                <c:pt idx="129">
                  <c:v>8.8984369852306706</c:v>
                </c:pt>
                <c:pt idx="130">
                  <c:v>8.9560866600476299</c:v>
                </c:pt>
                <c:pt idx="131">
                  <c:v>9.8055480261850398</c:v>
                </c:pt>
                <c:pt idx="132">
                  <c:v>10.5240901989603</c:v>
                </c:pt>
                <c:pt idx="133">
                  <c:v>11.163073686976499</c:v>
                </c:pt>
                <c:pt idx="134">
                  <c:v>10.963067638365199</c:v>
                </c:pt>
                <c:pt idx="135">
                  <c:v>11.3861984029383</c:v>
                </c:pt>
                <c:pt idx="136">
                  <c:v>12.2031790435479</c:v>
                </c:pt>
                <c:pt idx="137">
                  <c:v>13.7352039182997</c:v>
                </c:pt>
                <c:pt idx="138">
                  <c:v>16.367852024442598</c:v>
                </c:pt>
                <c:pt idx="139">
                  <c:v>17.544023915227701</c:v>
                </c:pt>
                <c:pt idx="140">
                  <c:v>15.8296056755572</c:v>
                </c:pt>
                <c:pt idx="141">
                  <c:v>16.796557150373399</c:v>
                </c:pt>
                <c:pt idx="142">
                  <c:v>16.506024590184499</c:v>
                </c:pt>
                <c:pt idx="143">
                  <c:v>17.714330003886602</c:v>
                </c:pt>
                <c:pt idx="144">
                  <c:v>18.602871279097599</c:v>
                </c:pt>
                <c:pt idx="145">
                  <c:v>17.939320187328899</c:v>
                </c:pt>
                <c:pt idx="146">
                  <c:v>18.7048359267481</c:v>
                </c:pt>
                <c:pt idx="147">
                  <c:v>20.6063188118491</c:v>
                </c:pt>
                <c:pt idx="148">
                  <c:v>22.363340467458499</c:v>
                </c:pt>
                <c:pt idx="149">
                  <c:v>23.8281753226325</c:v>
                </c:pt>
                <c:pt idx="150">
                  <c:v>23.519280281708099</c:v>
                </c:pt>
                <c:pt idx="151">
                  <c:v>24.095996738052101</c:v>
                </c:pt>
                <c:pt idx="152">
                  <c:v>24.7778080640905</c:v>
                </c:pt>
                <c:pt idx="153">
                  <c:v>23.179048456374201</c:v>
                </c:pt>
                <c:pt idx="154">
                  <c:v>23.122745820370199</c:v>
                </c:pt>
                <c:pt idx="155">
                  <c:v>20.9011451324494</c:v>
                </c:pt>
                <c:pt idx="156">
                  <c:v>18.457544585252201</c:v>
                </c:pt>
                <c:pt idx="157">
                  <c:v>19.148089827698499</c:v>
                </c:pt>
                <c:pt idx="158">
                  <c:v>17.2161379801233</c:v>
                </c:pt>
                <c:pt idx="159">
                  <c:v>13.9469243740858</c:v>
                </c:pt>
                <c:pt idx="160">
                  <c:v>14.5900756944198</c:v>
                </c:pt>
                <c:pt idx="161">
                  <c:v>17.2496664353143</c:v>
                </c:pt>
                <c:pt idx="162">
                  <c:v>17.628602559814698</c:v>
                </c:pt>
                <c:pt idx="163">
                  <c:v>18.246455328725101</c:v>
                </c:pt>
                <c:pt idx="164">
                  <c:v>16.681498874668499</c:v>
                </c:pt>
                <c:pt idx="165">
                  <c:v>16.067299907169598</c:v>
                </c:pt>
                <c:pt idx="166">
                  <c:v>17.172174726802702</c:v>
                </c:pt>
                <c:pt idx="167">
                  <c:v>16.1753015201223</c:v>
                </c:pt>
                <c:pt idx="168">
                  <c:v>17.5389687355453</c:v>
                </c:pt>
                <c:pt idx="169">
                  <c:v>17.311101275300999</c:v>
                </c:pt>
                <c:pt idx="170">
                  <c:v>17.294782535215599</c:v>
                </c:pt>
                <c:pt idx="171">
                  <c:v>18.281885239580902</c:v>
                </c:pt>
                <c:pt idx="172">
                  <c:v>18.308490710131998</c:v>
                </c:pt>
                <c:pt idx="173">
                  <c:v>18.506646848698001</c:v>
                </c:pt>
                <c:pt idx="174">
                  <c:v>18.463660614293602</c:v>
                </c:pt>
                <c:pt idx="175">
                  <c:v>17.690122934476399</c:v>
                </c:pt>
                <c:pt idx="176">
                  <c:v>16.9998861480085</c:v>
                </c:pt>
                <c:pt idx="177">
                  <c:v>16.683823168366501</c:v>
                </c:pt>
                <c:pt idx="178">
                  <c:v>16.415773603428701</c:v>
                </c:pt>
                <c:pt idx="179">
                  <c:v>16.7222510273102</c:v>
                </c:pt>
                <c:pt idx="180">
                  <c:v>14.8845391812981</c:v>
                </c:pt>
                <c:pt idx="181">
                  <c:v>17.832675971336801</c:v>
                </c:pt>
                <c:pt idx="182">
                  <c:v>18.554346212967701</c:v>
                </c:pt>
                <c:pt idx="183">
                  <c:v>19.685259730823098</c:v>
                </c:pt>
                <c:pt idx="184">
                  <c:v>19.213213348822801</c:v>
                </c:pt>
                <c:pt idx="185">
                  <c:v>19.394832808381299</c:v>
                </c:pt>
                <c:pt idx="186">
                  <c:v>18.657828264423401</c:v>
                </c:pt>
                <c:pt idx="187">
                  <c:v>17.772133161165399</c:v>
                </c:pt>
                <c:pt idx="188">
                  <c:v>21.684885672334399</c:v>
                </c:pt>
                <c:pt idx="189">
                  <c:v>30.674476474393501</c:v>
                </c:pt>
                <c:pt idx="190">
                  <c:v>27.7514574989487</c:v>
                </c:pt>
                <c:pt idx="191">
                  <c:v>26.063661090602899</c:v>
                </c:pt>
                <c:pt idx="192">
                  <c:v>26.178455278910199</c:v>
                </c:pt>
                <c:pt idx="193">
                  <c:v>29.2404743341529</c:v>
                </c:pt>
                <c:pt idx="194">
                  <c:v>27.415252937101702</c:v>
                </c:pt>
                <c:pt idx="195">
                  <c:v>25.643853860085901</c:v>
                </c:pt>
                <c:pt idx="196">
                  <c:v>26.6276401787194</c:v>
                </c:pt>
                <c:pt idx="197">
                  <c:v>30.1049809704875</c:v>
                </c:pt>
                <c:pt idx="198">
                  <c:v>31.2676657606163</c:v>
                </c:pt>
                <c:pt idx="199">
                  <c:v>33.936308602709602</c:v>
                </c:pt>
                <c:pt idx="200">
                  <c:v>36.0472327794986</c:v>
                </c:pt>
                <c:pt idx="201">
                  <c:v>35.803783381620498</c:v>
                </c:pt>
                <c:pt idx="202">
                  <c:v>34.191687204145403</c:v>
                </c:pt>
                <c:pt idx="203">
                  <c:v>35.292429161911102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1-4A0E-AFF6-998268A60390}"/>
            </c:ext>
          </c:extLst>
        </c:ser>
        <c:ser>
          <c:idx val="1"/>
          <c:order val="1"/>
          <c:tx>
            <c:strRef>
              <c:f>nv_stra!$O$1</c:f>
              <c:strCache>
                <c:ptCount val="1"/>
                <c:pt idx="0">
                  <c:v>万得全A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nv_stra!$O$16:$O$300</c:f>
              <c:numCache>
                <c:formatCode>General</c:formatCode>
                <c:ptCount val="285"/>
                <c:pt idx="0">
                  <c:v>1</c:v>
                </c:pt>
                <c:pt idx="1">
                  <c:v>1.0719822903291396</c:v>
                </c:pt>
                <c:pt idx="2">
                  <c:v>1.2898282167894253</c:v>
                </c:pt>
                <c:pt idx="3">
                  <c:v>1.3777361611293817</c:v>
                </c:pt>
                <c:pt idx="4">
                  <c:v>1.44079483772383</c:v>
                </c:pt>
                <c:pt idx="5">
                  <c:v>1.5531642776062666</c:v>
                </c:pt>
                <c:pt idx="6">
                  <c:v>1.8073827243308827</c:v>
                </c:pt>
                <c:pt idx="7">
                  <c:v>1.5058545477675949</c:v>
                </c:pt>
                <c:pt idx="8">
                  <c:v>1.5690017523241682</c:v>
                </c:pt>
                <c:pt idx="9">
                  <c:v>1.7435257180700932</c:v>
                </c:pt>
                <c:pt idx="10">
                  <c:v>1.9692096523350262</c:v>
                </c:pt>
                <c:pt idx="11">
                  <c:v>2.004640681785621</c:v>
                </c:pt>
                <c:pt idx="12">
                  <c:v>1.900940947013702</c:v>
                </c:pt>
                <c:pt idx="13">
                  <c:v>2.0004298322614593</c:v>
                </c:pt>
                <c:pt idx="14">
                  <c:v>2.0506795300785687</c:v>
                </c:pt>
                <c:pt idx="15">
                  <c:v>1.912683147667257</c:v>
                </c:pt>
                <c:pt idx="16">
                  <c:v>1.7661742030210625</c:v>
                </c:pt>
                <c:pt idx="17">
                  <c:v>1.5998555262197731</c:v>
                </c:pt>
                <c:pt idx="18">
                  <c:v>1.8313672800206968</c:v>
                </c:pt>
                <c:pt idx="19">
                  <c:v>1.9498883067721315</c:v>
                </c:pt>
                <c:pt idx="20">
                  <c:v>1.9954860404375792</c:v>
                </c:pt>
                <c:pt idx="21">
                  <c:v>2.2229259652856035</c:v>
                </c:pt>
                <c:pt idx="22">
                  <c:v>2.1933163738123653</c:v>
                </c:pt>
                <c:pt idx="23">
                  <c:v>2.1508335304412647</c:v>
                </c:pt>
                <c:pt idx="24">
                  <c:v>2.0643732217375677</c:v>
                </c:pt>
                <c:pt idx="25">
                  <c:v>2.2481293289511646</c:v>
                </c:pt>
                <c:pt idx="26">
                  <c:v>2.2257585554212254</c:v>
                </c:pt>
                <c:pt idx="27">
                  <c:v>2.1765032267059881</c:v>
                </c:pt>
                <c:pt idx="28">
                  <c:v>2.0159308447985311</c:v>
                </c:pt>
                <c:pt idx="29">
                  <c:v>2.0780824731607344</c:v>
                </c:pt>
                <c:pt idx="30">
                  <c:v>2.0950079731236912</c:v>
                </c:pt>
                <c:pt idx="31">
                  <c:v>1.9976984528203674</c:v>
                </c:pt>
                <c:pt idx="32">
                  <c:v>1.7764406935726347</c:v>
                </c:pt>
                <c:pt idx="33">
                  <c:v>1.8492700467152248</c:v>
                </c:pt>
                <c:pt idx="34">
                  <c:v>1.7567215072113627</c:v>
                </c:pt>
                <c:pt idx="35">
                  <c:v>1.5258060090546806</c:v>
                </c:pt>
                <c:pt idx="36">
                  <c:v>1.561238181492153</c:v>
                </c:pt>
                <c:pt idx="37">
                  <c:v>1.725640936713974</c:v>
                </c:pt>
                <c:pt idx="38">
                  <c:v>1.5969926974734332</c:v>
                </c:pt>
                <c:pt idx="39">
                  <c:v>1.7082989751186333</c:v>
                </c:pt>
                <c:pt idx="40">
                  <c:v>1.7270627212032035</c:v>
                </c:pt>
                <c:pt idx="41">
                  <c:v>1.6147395877776267</c:v>
                </c:pt>
                <c:pt idx="42">
                  <c:v>1.4904800284551007</c:v>
                </c:pt>
                <c:pt idx="43">
                  <c:v>1.4769895205276014</c:v>
                </c:pt>
                <c:pt idx="44">
                  <c:v>1.5087923991219496</c:v>
                </c:pt>
                <c:pt idx="45">
                  <c:v>1.5044499849906368</c:v>
                </c:pt>
                <c:pt idx="46">
                  <c:v>1.3686595024988404</c:v>
                </c:pt>
                <c:pt idx="47">
                  <c:v>1.5820813548456081</c:v>
                </c:pt>
                <c:pt idx="48">
                  <c:v>1.6987547293384355</c:v>
                </c:pt>
                <c:pt idx="49">
                  <c:v>1.7523569598701141</c:v>
                </c:pt>
                <c:pt idx="50">
                  <c:v>1.6868142257705581</c:v>
                </c:pt>
                <c:pt idx="51">
                  <c:v>1.6358926127374511</c:v>
                </c:pt>
                <c:pt idx="52">
                  <c:v>1.8073929887433491</c:v>
                </c:pt>
                <c:pt idx="53">
                  <c:v>1.5271504808523328</c:v>
                </c:pt>
                <c:pt idx="54">
                  <c:v>1.5855943989224874</c:v>
                </c:pt>
                <c:pt idx="55">
                  <c:v>1.7206026248548003</c:v>
                </c:pt>
                <c:pt idx="56">
                  <c:v>1.7965309426789513</c:v>
                </c:pt>
                <c:pt idx="57">
                  <c:v>1.7500324680658323</c:v>
                </c:pt>
                <c:pt idx="58">
                  <c:v>1.8656139573475128</c:v>
                </c:pt>
                <c:pt idx="59">
                  <c:v>1.7951170261075289</c:v>
                </c:pt>
                <c:pt idx="60">
                  <c:v>1.7575062348442281</c:v>
                </c:pt>
                <c:pt idx="61">
                  <c:v>1.788423736998795</c:v>
                </c:pt>
                <c:pt idx="62">
                  <c:v>1.7592608498198201</c:v>
                </c:pt>
                <c:pt idx="63">
                  <c:v>1.7329602811079428</c:v>
                </c:pt>
                <c:pt idx="64">
                  <c:v>1.7472290775850561</c:v>
                </c:pt>
                <c:pt idx="65">
                  <c:v>1.8054514379741933</c:v>
                </c:pt>
                <c:pt idx="66">
                  <c:v>1.98110023711936</c:v>
                </c:pt>
                <c:pt idx="67">
                  <c:v>2.0632453179934331</c:v>
                </c:pt>
                <c:pt idx="68">
                  <c:v>2.2905494425474893</c:v>
                </c:pt>
                <c:pt idx="69">
                  <c:v>2.3465238755866396</c:v>
                </c:pt>
                <c:pt idx="70">
                  <c:v>2.4997510540328771</c:v>
                </c:pt>
                <c:pt idx="71">
                  <c:v>2.6337586757820066</c:v>
                </c:pt>
                <c:pt idx="72">
                  <c:v>2.765384274417928</c:v>
                </c:pt>
                <c:pt idx="73">
                  <c:v>2.9258509049464907</c:v>
                </c:pt>
                <c:pt idx="74">
                  <c:v>3.4889578790574189</c:v>
                </c:pt>
                <c:pt idx="75">
                  <c:v>4.1539581698924639</c:v>
                </c:pt>
                <c:pt idx="76">
                  <c:v>5.0059542173636791</c:v>
                </c:pt>
                <c:pt idx="77">
                  <c:v>4.5359640823574088</c:v>
                </c:pt>
                <c:pt idx="78">
                  <c:v>3.8375234542760102</c:v>
                </c:pt>
                <c:pt idx="79">
                  <c:v>3.260904057017743</c:v>
                </c:pt>
                <c:pt idx="80">
                  <c:v>3.0439468288390943</c:v>
                </c:pt>
                <c:pt idx="81">
                  <c:v>3.6047268790651321</c:v>
                </c:pt>
                <c:pt idx="82">
                  <c:v>3.8398163100361882</c:v>
                </c:pt>
                <c:pt idx="83">
                  <c:v>4.045228189521044</c:v>
                </c:pt>
                <c:pt idx="84">
                  <c:v>2.9081859566903403</c:v>
                </c:pt>
                <c:pt idx="85">
                  <c:v>2.8642194342891627</c:v>
                </c:pt>
                <c:pt idx="86">
                  <c:v>3.3492865493677462</c:v>
                </c:pt>
                <c:pt idx="87">
                  <c:v>3.3233642872363873</c:v>
                </c:pt>
                <c:pt idx="88">
                  <c:v>3.270086813121901</c:v>
                </c:pt>
                <c:pt idx="89">
                  <c:v>3.409796728415913</c:v>
                </c:pt>
                <c:pt idx="90">
                  <c:v>3.4677367958108758</c:v>
                </c:pt>
                <c:pt idx="91">
                  <c:v>3.6029449028086162</c:v>
                </c:pt>
                <c:pt idx="92">
                  <c:v>3.5509477875089517</c:v>
                </c:pt>
                <c:pt idx="93">
                  <c:v>3.67626999175963</c:v>
                </c:pt>
                <c:pt idx="94">
                  <c:v>3.800757704341958</c:v>
                </c:pt>
                <c:pt idx="95">
                  <c:v>3.6285765599025743</c:v>
                </c:pt>
                <c:pt idx="96">
                  <c:v>3.6516839983812797</c:v>
                </c:pt>
                <c:pt idx="97">
                  <c:v>3.7954191992180895</c:v>
                </c:pt>
                <c:pt idx="98">
                  <c:v>3.7501125722698263</c:v>
                </c:pt>
                <c:pt idx="99">
                  <c:v>3.5800011538899215</c:v>
                </c:pt>
                <c:pt idx="100">
                  <c:v>3.3814584413531374</c:v>
                </c:pt>
                <c:pt idx="101">
                  <c:v>3.534168728692777</c:v>
                </c:pt>
                <c:pt idx="102">
                  <c:v>3.5907200320488792</c:v>
                </c:pt>
                <c:pt idx="103">
                  <c:v>3.6960512926016404</c:v>
                </c:pt>
                <c:pt idx="104">
                  <c:v>3.767976386233256</c:v>
                </c:pt>
                <c:pt idx="105">
                  <c:v>3.7515889625005383</c:v>
                </c:pt>
                <c:pt idx="106">
                  <c:v>3.574193677197024</c:v>
                </c:pt>
                <c:pt idx="107">
                  <c:v>3.5591855249541156</c:v>
                </c:pt>
                <c:pt idx="108">
                  <c:v>3.5013223178983588</c:v>
                </c:pt>
                <c:pt idx="109">
                  <c:v>3.3738604508051386</c:v>
                </c:pt>
                <c:pt idx="110">
                  <c:v>3.4312537115909256</c:v>
                </c:pt>
                <c:pt idx="111">
                  <c:v>3.281802694345751</c:v>
                </c:pt>
                <c:pt idx="112">
                  <c:v>3.2636311970676029</c:v>
                </c:pt>
                <c:pt idx="113">
                  <c:v>2.9505362870227896</c:v>
                </c:pt>
                <c:pt idx="114">
                  <c:v>2.9519948808030834</c:v>
                </c:pt>
                <c:pt idx="115">
                  <c:v>2.7306732670111913</c:v>
                </c:pt>
                <c:pt idx="116">
                  <c:v>2.7372254222737795</c:v>
                </c:pt>
                <c:pt idx="117">
                  <c:v>2.4519934990822625</c:v>
                </c:pt>
                <c:pt idx="118">
                  <c:v>2.5435686897797565</c:v>
                </c:pt>
                <c:pt idx="119">
                  <c:v>2.4380510267922082</c:v>
                </c:pt>
                <c:pt idx="120">
                  <c:v>2.4381203773864875</c:v>
                </c:pt>
                <c:pt idx="121">
                  <c:v>2.9377593265624808</c:v>
                </c:pt>
                <c:pt idx="122">
                  <c:v>3.2015825761699412</c:v>
                </c:pt>
                <c:pt idx="123">
                  <c:v>3.1001829245297507</c:v>
                </c:pt>
                <c:pt idx="124">
                  <c:v>2.9242089522655705</c:v>
                </c:pt>
                <c:pt idx="125">
                  <c:v>2.963850186225863</c:v>
                </c:pt>
                <c:pt idx="126">
                  <c:v>2.9290570323526608</c:v>
                </c:pt>
                <c:pt idx="127">
                  <c:v>2.8922659573296357</c:v>
                </c:pt>
                <c:pt idx="128">
                  <c:v>2.9222174778707979</c:v>
                </c:pt>
                <c:pt idx="129">
                  <c:v>2.9129289040414506</c:v>
                </c:pt>
                <c:pt idx="130">
                  <c:v>2.8726215091241478</c:v>
                </c:pt>
                <c:pt idx="131">
                  <c:v>3.1186019000881045</c:v>
                </c:pt>
                <c:pt idx="132">
                  <c:v>3.1206867926143906</c:v>
                </c:pt>
                <c:pt idx="133">
                  <c:v>3.1282473216555053</c:v>
                </c:pt>
                <c:pt idx="134">
                  <c:v>2.9454187854209128</c:v>
                </c:pt>
                <c:pt idx="135">
                  <c:v>3.0661573257177133</c:v>
                </c:pt>
                <c:pt idx="136">
                  <c:v>3.1365573537787648</c:v>
                </c:pt>
                <c:pt idx="137">
                  <c:v>3.3575782613518217</c:v>
                </c:pt>
                <c:pt idx="138">
                  <c:v>3.8333283496536974</c:v>
                </c:pt>
                <c:pt idx="139">
                  <c:v>3.9340390903539579</c:v>
                </c:pt>
                <c:pt idx="140">
                  <c:v>3.6862442094979548</c:v>
                </c:pt>
                <c:pt idx="141">
                  <c:v>3.7184584535497502</c:v>
                </c:pt>
                <c:pt idx="142">
                  <c:v>3.878146057562577</c:v>
                </c:pt>
                <c:pt idx="143">
                  <c:v>3.9154633024365677</c:v>
                </c:pt>
                <c:pt idx="144">
                  <c:v>3.8339241724570852</c:v>
                </c:pt>
                <c:pt idx="145">
                  <c:v>3.8935611332519677</c:v>
                </c:pt>
                <c:pt idx="146">
                  <c:v>3.8517111994549129</c:v>
                </c:pt>
                <c:pt idx="147">
                  <c:v>3.917961118972991</c:v>
                </c:pt>
                <c:pt idx="148">
                  <c:v>4.1237118525407324</c:v>
                </c:pt>
                <c:pt idx="149">
                  <c:v>4.20974095435158</c:v>
                </c:pt>
                <c:pt idx="150">
                  <c:v>4.2147701398011455</c:v>
                </c:pt>
                <c:pt idx="151">
                  <c:v>4.5072440904772018</c:v>
                </c:pt>
                <c:pt idx="152">
                  <c:v>4.4038964248686865</c:v>
                </c:pt>
                <c:pt idx="153">
                  <c:v>4.368617878956603</c:v>
                </c:pt>
                <c:pt idx="154">
                  <c:v>4.5975027289301069</c:v>
                </c:pt>
                <c:pt idx="155">
                  <c:v>4.6865876662342272</c:v>
                </c:pt>
                <c:pt idx="156">
                  <c:v>4.2361713466269757</c:v>
                </c:pt>
                <c:pt idx="157">
                  <c:v>4.4022536363283029</c:v>
                </c:pt>
                <c:pt idx="158">
                  <c:v>4.0851625559089513</c:v>
                </c:pt>
                <c:pt idx="159">
                  <c:v>3.6276415643243594</c:v>
                </c:pt>
                <c:pt idx="160">
                  <c:v>3.9441775109707971</c:v>
                </c:pt>
                <c:pt idx="161">
                  <c:v>4.2905088334077517</c:v>
                </c:pt>
                <c:pt idx="162">
                  <c:v>4.2745562872887559</c:v>
                </c:pt>
                <c:pt idx="163">
                  <c:v>4.1651460978032411</c:v>
                </c:pt>
                <c:pt idx="164">
                  <c:v>3.8294862535036236</c:v>
                </c:pt>
                <c:pt idx="165">
                  <c:v>3.7770927581097569</c:v>
                </c:pt>
                <c:pt idx="166">
                  <c:v>4.0944497356808434</c:v>
                </c:pt>
                <c:pt idx="167">
                  <c:v>3.9789919927979036</c:v>
                </c:pt>
                <c:pt idx="168">
                  <c:v>4.2601537950640704</c:v>
                </c:pt>
                <c:pt idx="169">
                  <c:v>4.3465363668920691</c:v>
                </c:pt>
                <c:pt idx="170">
                  <c:v>4.2806698599622468</c:v>
                </c:pt>
                <c:pt idx="171">
                  <c:v>4.1789028487115383</c:v>
                </c:pt>
                <c:pt idx="172">
                  <c:v>4.0571900900615656</c:v>
                </c:pt>
                <c:pt idx="173">
                  <c:v>4.1663451581605413</c:v>
                </c:pt>
                <c:pt idx="174">
                  <c:v>4.2702558627451923</c:v>
                </c:pt>
                <c:pt idx="175">
                  <c:v>4.0238247041627311</c:v>
                </c:pt>
                <c:pt idx="176">
                  <c:v>3.993572664664665</c:v>
                </c:pt>
                <c:pt idx="177">
                  <c:v>3.8975229881642321</c:v>
                </c:pt>
                <c:pt idx="178">
                  <c:v>3.9499597210365298</c:v>
                </c:pt>
                <c:pt idx="179">
                  <c:v>3.8661336300849483</c:v>
                </c:pt>
                <c:pt idx="180">
                  <c:v>3.3398423684331022</c:v>
                </c:pt>
                <c:pt idx="181">
                  <c:v>3.633945423301471</c:v>
                </c:pt>
                <c:pt idx="182">
                  <c:v>3.716546719047221</c:v>
                </c:pt>
                <c:pt idx="183">
                  <c:v>3.7341065396049489</c:v>
                </c:pt>
                <c:pt idx="184">
                  <c:v>3.6824891921046068</c:v>
                </c:pt>
                <c:pt idx="185">
                  <c:v>3.4119960087137065</c:v>
                </c:pt>
                <c:pt idx="186">
                  <c:v>3.4168452104192828</c:v>
                </c:pt>
                <c:pt idx="187">
                  <c:v>3.2620674378549923</c:v>
                </c:pt>
                <c:pt idx="188">
                  <c:v>3.9934682930805145</c:v>
                </c:pt>
                <c:pt idx="189">
                  <c:v>4.2162965086704691</c:v>
                </c:pt>
                <c:pt idx="190">
                  <c:v>4.3159597348042666</c:v>
                </c:pt>
                <c:pt idx="191">
                  <c:v>4.1856778583004326</c:v>
                </c:pt>
                <c:pt idx="192">
                  <c:v>4.0907960068047142</c:v>
                </c:pt>
                <c:pt idx="193">
                  <c:v>4.2760317706419828</c:v>
                </c:pt>
                <c:pt idx="194">
                  <c:v>4.2728144644734014</c:v>
                </c:pt>
                <c:pt idx="195">
                  <c:v>4.1512922783484809</c:v>
                </c:pt>
                <c:pt idx="196">
                  <c:v>4.2943254526209191</c:v>
                </c:pt>
                <c:pt idx="197">
                  <c:v>4.4938943555058932</c:v>
                </c:pt>
                <c:pt idx="198">
                  <c:v>4.6781671446439095</c:v>
                </c:pt>
                <c:pt idx="199">
                  <c:v>5.1321618235831208</c:v>
                </c:pt>
                <c:pt idx="200">
                  <c:v>5.2244488189173097</c:v>
                </c:pt>
                <c:pt idx="201">
                  <c:v>5.2783723307399022</c:v>
                </c:pt>
                <c:pt idx="202">
                  <c:v>5.2267812512807534</c:v>
                </c:pt>
                <c:pt idx="203">
                  <c:v>5.4041252703176879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1-4A0E-AFF6-998268A60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66880"/>
        <c:axId val="-1236761984"/>
      </c:lineChart>
      <c:dateAx>
        <c:axId val="-1236766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61984"/>
        <c:crosses val="autoZero"/>
        <c:auto val="1"/>
        <c:lblOffset val="100"/>
        <c:baseTimeUnit val="months"/>
      </c:dateAx>
      <c:valAx>
        <c:axId val="-123676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6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nv_stra!$K$1</c:f>
              <c:strCache>
                <c:ptCount val="1"/>
                <c:pt idx="0">
                  <c:v>盈利能力策略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nv_stra!$K$16:$K$300</c:f>
              <c:numCache>
                <c:formatCode>General</c:formatCode>
                <c:ptCount val="285"/>
                <c:pt idx="0">
                  <c:v>1</c:v>
                </c:pt>
                <c:pt idx="1">
                  <c:v>0.97201155967977881</c:v>
                </c:pt>
                <c:pt idx="2">
                  <c:v>1.1732714058781346</c:v>
                </c:pt>
                <c:pt idx="3">
                  <c:v>1.2565640528468907</c:v>
                </c:pt>
                <c:pt idx="4">
                  <c:v>1.267784657334436</c:v>
                </c:pt>
                <c:pt idx="5">
                  <c:v>1.3825410570313419</c:v>
                </c:pt>
                <c:pt idx="6">
                  <c:v>1.5320930950648788</c:v>
                </c:pt>
                <c:pt idx="7">
                  <c:v>1.4212616027023179</c:v>
                </c:pt>
                <c:pt idx="8">
                  <c:v>1.4948145923659306</c:v>
                </c:pt>
                <c:pt idx="9">
                  <c:v>1.6948058464707139</c:v>
                </c:pt>
                <c:pt idx="10">
                  <c:v>1.9272264191262862</c:v>
                </c:pt>
                <c:pt idx="11">
                  <c:v>1.9954178073356825</c:v>
                </c:pt>
                <c:pt idx="12">
                  <c:v>1.9196178520423435</c:v>
                </c:pt>
                <c:pt idx="13">
                  <c:v>1.9499068946222702</c:v>
                </c:pt>
                <c:pt idx="14">
                  <c:v>1.9492541762056041</c:v>
                </c:pt>
                <c:pt idx="15">
                  <c:v>1.8165079093587873</c:v>
                </c:pt>
                <c:pt idx="16">
                  <c:v>1.6933475802803417</c:v>
                </c:pt>
                <c:pt idx="17">
                  <c:v>1.5663769774238996</c:v>
                </c:pt>
                <c:pt idx="18">
                  <c:v>1.774007455033126</c:v>
                </c:pt>
                <c:pt idx="19">
                  <c:v>2.0042106081266353</c:v>
                </c:pt>
                <c:pt idx="20">
                  <c:v>2.0746841651072048</c:v>
                </c:pt>
                <c:pt idx="21">
                  <c:v>2.3512908533007963</c:v>
                </c:pt>
                <c:pt idx="22">
                  <c:v>2.4286726417089612</c:v>
                </c:pt>
                <c:pt idx="23">
                  <c:v>2.2576634789278347</c:v>
                </c:pt>
                <c:pt idx="24">
                  <c:v>2.2499766771455141</c:v>
                </c:pt>
                <c:pt idx="25">
                  <c:v>2.4342342764056397</c:v>
                </c:pt>
                <c:pt idx="26">
                  <c:v>2.3561343652836495</c:v>
                </c:pt>
                <c:pt idx="27">
                  <c:v>2.4665860803335602</c:v>
                </c:pt>
                <c:pt idx="28">
                  <c:v>2.4214999269800841</c:v>
                </c:pt>
                <c:pt idx="29">
                  <c:v>2.5754419769213057</c:v>
                </c:pt>
                <c:pt idx="30">
                  <c:v>2.6127068370348243</c:v>
                </c:pt>
                <c:pt idx="31">
                  <c:v>2.551951580404249</c:v>
                </c:pt>
                <c:pt idx="32">
                  <c:v>2.2061246366699323</c:v>
                </c:pt>
                <c:pt idx="33">
                  <c:v>2.2789163738174447</c:v>
                </c:pt>
                <c:pt idx="34">
                  <c:v>2.1826552086579865</c:v>
                </c:pt>
                <c:pt idx="35">
                  <c:v>1.9728403844025955</c:v>
                </c:pt>
                <c:pt idx="36">
                  <c:v>2.0405509737528464</c:v>
                </c:pt>
                <c:pt idx="37">
                  <c:v>2.2148301047171617</c:v>
                </c:pt>
                <c:pt idx="38">
                  <c:v>2.0850459596566502</c:v>
                </c:pt>
                <c:pt idx="39">
                  <c:v>2.2728366176914152</c:v>
                </c:pt>
                <c:pt idx="40">
                  <c:v>2.2969561147986375</c:v>
                </c:pt>
                <c:pt idx="41">
                  <c:v>2.2835999477867595</c:v>
                </c:pt>
                <c:pt idx="42">
                  <c:v>2.2081222591154854</c:v>
                </c:pt>
                <c:pt idx="43">
                  <c:v>2.1241369456110872</c:v>
                </c:pt>
                <c:pt idx="44">
                  <c:v>2.1998620093604262</c:v>
                </c:pt>
                <c:pt idx="45">
                  <c:v>2.1438712743742472</c:v>
                </c:pt>
                <c:pt idx="46">
                  <c:v>1.9335794207112182</c:v>
                </c:pt>
                <c:pt idx="47">
                  <c:v>2.1535311772788872</c:v>
                </c:pt>
                <c:pt idx="48">
                  <c:v>2.2234167942896708</c:v>
                </c:pt>
                <c:pt idx="49">
                  <c:v>2.4220511887092204</c:v>
                </c:pt>
                <c:pt idx="50">
                  <c:v>2.3796623094864344</c:v>
                </c:pt>
                <c:pt idx="51">
                  <c:v>2.3052634050747565</c:v>
                </c:pt>
                <c:pt idx="52">
                  <c:v>2.4514632309344422</c:v>
                </c:pt>
                <c:pt idx="53">
                  <c:v>2.2723939332746563</c:v>
                </c:pt>
                <c:pt idx="54">
                  <c:v>2.1807921064105025</c:v>
                </c:pt>
                <c:pt idx="55">
                  <c:v>2.2091024447202474</c:v>
                </c:pt>
                <c:pt idx="56">
                  <c:v>2.0955649658787894</c:v>
                </c:pt>
                <c:pt idx="57">
                  <c:v>1.9872777333459701</c:v>
                </c:pt>
                <c:pt idx="58">
                  <c:v>2.0210234778212115</c:v>
                </c:pt>
                <c:pt idx="59">
                  <c:v>1.9843904279815594</c:v>
                </c:pt>
                <c:pt idx="60">
                  <c:v>1.8724908908344355</c:v>
                </c:pt>
                <c:pt idx="61">
                  <c:v>1.8761500007513241</c:v>
                </c:pt>
                <c:pt idx="62">
                  <c:v>1.9058544174569245</c:v>
                </c:pt>
                <c:pt idx="63">
                  <c:v>1.9714112787008351</c:v>
                </c:pt>
                <c:pt idx="64">
                  <c:v>1.9619963618420113</c:v>
                </c:pt>
                <c:pt idx="65">
                  <c:v>2.0222046963228975</c:v>
                </c:pt>
                <c:pt idx="66">
                  <c:v>2.1837330306121512</c:v>
                </c:pt>
                <c:pt idx="67">
                  <c:v>2.2587519730332217</c:v>
                </c:pt>
                <c:pt idx="68">
                  <c:v>2.3762118711538802</c:v>
                </c:pt>
                <c:pt idx="69">
                  <c:v>2.4090736738094916</c:v>
                </c:pt>
                <c:pt idx="70">
                  <c:v>2.5237571835111519</c:v>
                </c:pt>
                <c:pt idx="71">
                  <c:v>3.0390826812041536</c:v>
                </c:pt>
                <c:pt idx="72">
                  <c:v>3.1791511157544337</c:v>
                </c:pt>
                <c:pt idx="73">
                  <c:v>3.3664293953340336</c:v>
                </c:pt>
                <c:pt idx="74">
                  <c:v>3.7077968736201385</c:v>
                </c:pt>
                <c:pt idx="75">
                  <c:v>4.326159609963919</c:v>
                </c:pt>
                <c:pt idx="76">
                  <c:v>5.8407644812139718</c:v>
                </c:pt>
                <c:pt idx="77">
                  <c:v>5.9982378690823444</c:v>
                </c:pt>
                <c:pt idx="78">
                  <c:v>5.0063107203930262</c:v>
                </c:pt>
                <c:pt idx="79">
                  <c:v>4.3424071628349203</c:v>
                </c:pt>
                <c:pt idx="80">
                  <c:v>3.9460261742266853</c:v>
                </c:pt>
                <c:pt idx="81">
                  <c:v>4.53962510502922</c:v>
                </c:pt>
                <c:pt idx="82">
                  <c:v>4.9553758249545696</c:v>
                </c:pt>
                <c:pt idx="83">
                  <c:v>5.3014748680508497</c:v>
                </c:pt>
                <c:pt idx="84">
                  <c:v>4.1177056924673625</c:v>
                </c:pt>
                <c:pt idx="85">
                  <c:v>3.908955407120537</c:v>
                </c:pt>
                <c:pt idx="86">
                  <c:v>4.6632239459472391</c:v>
                </c:pt>
                <c:pt idx="87">
                  <c:v>4.6841999196649136</c:v>
                </c:pt>
                <c:pt idx="88">
                  <c:v>4.8868537838918469</c:v>
                </c:pt>
                <c:pt idx="89">
                  <c:v>5.3011464857377799</c:v>
                </c:pt>
                <c:pt idx="90">
                  <c:v>5.5906848180598576</c:v>
                </c:pt>
                <c:pt idx="91">
                  <c:v>5.4364261596366816</c:v>
                </c:pt>
                <c:pt idx="92">
                  <c:v>5.4116819969053953</c:v>
                </c:pt>
                <c:pt idx="93">
                  <c:v>5.866958256041106</c:v>
                </c:pt>
                <c:pt idx="94">
                  <c:v>6.1044529473844298</c:v>
                </c:pt>
                <c:pt idx="95">
                  <c:v>5.8369377217336185</c:v>
                </c:pt>
                <c:pt idx="96">
                  <c:v>5.9669881954865369</c:v>
                </c:pt>
                <c:pt idx="97">
                  <c:v>6.1457546770019782</c:v>
                </c:pt>
                <c:pt idx="98">
                  <c:v>6.4619096977200776</c:v>
                </c:pt>
                <c:pt idx="99">
                  <c:v>6.4373242924765872</c:v>
                </c:pt>
                <c:pt idx="100">
                  <c:v>6.4566942662417475</c:v>
                </c:pt>
                <c:pt idx="101">
                  <c:v>6.9501255861809828</c:v>
                </c:pt>
                <c:pt idx="102">
                  <c:v>6.9383276029257219</c:v>
                </c:pt>
                <c:pt idx="103">
                  <c:v>7.2883036487807216</c:v>
                </c:pt>
                <c:pt idx="104">
                  <c:v>7.9549028988188404</c:v>
                </c:pt>
                <c:pt idx="105">
                  <c:v>8.4605394264843365</c:v>
                </c:pt>
                <c:pt idx="106">
                  <c:v>8.1734518182498181</c:v>
                </c:pt>
                <c:pt idx="107">
                  <c:v>8.6890102853671856</c:v>
                </c:pt>
                <c:pt idx="108">
                  <c:v>8.7029793316746797</c:v>
                </c:pt>
                <c:pt idx="109">
                  <c:v>8.3661239467287043</c:v>
                </c:pt>
                <c:pt idx="110">
                  <c:v>8.2043083510664392</c:v>
                </c:pt>
                <c:pt idx="111">
                  <c:v>8.1528686269289441</c:v>
                </c:pt>
                <c:pt idx="112">
                  <c:v>8.6516711666671728</c:v>
                </c:pt>
                <c:pt idx="113">
                  <c:v>8.1447891166176696</c:v>
                </c:pt>
                <c:pt idx="114">
                  <c:v>7.9856273921184826</c:v>
                </c:pt>
                <c:pt idx="115">
                  <c:v>7.2695972968653537</c:v>
                </c:pt>
                <c:pt idx="116">
                  <c:v>7.738712106243721</c:v>
                </c:pt>
                <c:pt idx="117">
                  <c:v>6.6296402611225878</c:v>
                </c:pt>
                <c:pt idx="118">
                  <c:v>6.8539466687846291</c:v>
                </c:pt>
                <c:pt idx="119">
                  <c:v>6.897085655520204</c:v>
                </c:pt>
                <c:pt idx="120">
                  <c:v>7.1805201975128989</c:v>
                </c:pt>
                <c:pt idx="121">
                  <c:v>8.0642889236336739</c:v>
                </c:pt>
                <c:pt idx="122">
                  <c:v>8.9660033748108656</c:v>
                </c:pt>
                <c:pt idx="123">
                  <c:v>9.4877716638269707</c:v>
                </c:pt>
                <c:pt idx="124">
                  <c:v>9.2077225681411932</c:v>
                </c:pt>
                <c:pt idx="125">
                  <c:v>10.057829115357652</c:v>
                </c:pt>
                <c:pt idx="126">
                  <c:v>9.8790238311834528</c:v>
                </c:pt>
                <c:pt idx="127">
                  <c:v>10.131295484335205</c:v>
                </c:pt>
                <c:pt idx="128">
                  <c:v>10.028835903650949</c:v>
                </c:pt>
                <c:pt idx="129">
                  <c:v>10.195188721925527</c:v>
                </c:pt>
                <c:pt idx="130">
                  <c:v>9.8955596656193219</c:v>
                </c:pt>
                <c:pt idx="131">
                  <c:v>10.458965219906418</c:v>
                </c:pt>
                <c:pt idx="132">
                  <c:v>10.226736730999944</c:v>
                </c:pt>
                <c:pt idx="133">
                  <c:v>9.9804418175134408</c:v>
                </c:pt>
                <c:pt idx="134">
                  <c:v>10.408426218229025</c:v>
                </c:pt>
                <c:pt idx="135">
                  <c:v>11.026559916447896</c:v>
                </c:pt>
                <c:pt idx="136">
                  <c:v>11.585668248454025</c:v>
                </c:pt>
                <c:pt idx="137">
                  <c:v>12.379647310226531</c:v>
                </c:pt>
                <c:pt idx="138">
                  <c:v>14.859518261771059</c:v>
                </c:pt>
                <c:pt idx="139">
                  <c:v>16.467884764571622</c:v>
                </c:pt>
                <c:pt idx="140">
                  <c:v>15.093171544542233</c:v>
                </c:pt>
                <c:pt idx="141">
                  <c:v>15.433513035214188</c:v>
                </c:pt>
                <c:pt idx="142">
                  <c:v>16.553257695362809</c:v>
                </c:pt>
                <c:pt idx="143">
                  <c:v>18.200453283902625</c:v>
                </c:pt>
                <c:pt idx="144">
                  <c:v>19.528133808730129</c:v>
                </c:pt>
                <c:pt idx="145">
                  <c:v>17.931034158455702</c:v>
                </c:pt>
                <c:pt idx="146">
                  <c:v>17.524088094700222</c:v>
                </c:pt>
                <c:pt idx="147">
                  <c:v>18.552334144132924</c:v>
                </c:pt>
                <c:pt idx="148">
                  <c:v>19.686031499893154</c:v>
                </c:pt>
                <c:pt idx="149">
                  <c:v>19.218272049363772</c:v>
                </c:pt>
                <c:pt idx="150">
                  <c:v>17.341048921742896</c:v>
                </c:pt>
                <c:pt idx="151">
                  <c:v>16.570394672708058</c:v>
                </c:pt>
                <c:pt idx="152">
                  <c:v>16.65906850780798</c:v>
                </c:pt>
                <c:pt idx="153">
                  <c:v>17.253408781634185</c:v>
                </c:pt>
                <c:pt idx="154">
                  <c:v>16.732765505106446</c:v>
                </c:pt>
                <c:pt idx="155">
                  <c:v>17.406087946211709</c:v>
                </c:pt>
                <c:pt idx="156">
                  <c:v>15.726964370302586</c:v>
                </c:pt>
                <c:pt idx="157">
                  <c:v>16.310872294248586</c:v>
                </c:pt>
                <c:pt idx="158">
                  <c:v>15.294236382482653</c:v>
                </c:pt>
                <c:pt idx="159">
                  <c:v>14.623652984158682</c:v>
                </c:pt>
                <c:pt idx="160">
                  <c:v>14.983505878104378</c:v>
                </c:pt>
                <c:pt idx="161">
                  <c:v>17.478971008591408</c:v>
                </c:pt>
                <c:pt idx="162">
                  <c:v>16.155654488336136</c:v>
                </c:pt>
                <c:pt idx="163">
                  <c:v>16.073272994120245</c:v>
                </c:pt>
                <c:pt idx="164">
                  <c:v>15.466631473967347</c:v>
                </c:pt>
                <c:pt idx="165">
                  <c:v>14.069978913720577</c:v>
                </c:pt>
                <c:pt idx="166">
                  <c:v>15.120444216806831</c:v>
                </c:pt>
                <c:pt idx="167">
                  <c:v>15.293313963561891</c:v>
                </c:pt>
                <c:pt idx="168">
                  <c:v>15.807737909976199</c:v>
                </c:pt>
                <c:pt idx="169">
                  <c:v>16.446140571003721</c:v>
                </c:pt>
                <c:pt idx="170">
                  <c:v>15.853727395856708</c:v>
                </c:pt>
                <c:pt idx="171">
                  <c:v>15.300710037365082</c:v>
                </c:pt>
                <c:pt idx="172">
                  <c:v>14.409069820675375</c:v>
                </c:pt>
                <c:pt idx="173">
                  <c:v>14.637965509380452</c:v>
                </c:pt>
                <c:pt idx="174">
                  <c:v>15.724024516750644</c:v>
                </c:pt>
                <c:pt idx="175">
                  <c:v>15.036442940351915</c:v>
                </c:pt>
                <c:pt idx="176">
                  <c:v>14.855243942351072</c:v>
                </c:pt>
                <c:pt idx="177">
                  <c:v>14.66490612416869</c:v>
                </c:pt>
                <c:pt idx="178">
                  <c:v>14.129593310428664</c:v>
                </c:pt>
                <c:pt idx="179">
                  <c:v>14.061840524419495</c:v>
                </c:pt>
                <c:pt idx="180">
                  <c:v>12.060845836770604</c:v>
                </c:pt>
                <c:pt idx="181">
                  <c:v>13.158527406392546</c:v>
                </c:pt>
                <c:pt idx="182">
                  <c:v>13.585799374178297</c:v>
                </c:pt>
                <c:pt idx="183">
                  <c:v>14.216191935416516</c:v>
                </c:pt>
                <c:pt idx="184">
                  <c:v>13.649806942497721</c:v>
                </c:pt>
                <c:pt idx="185">
                  <c:v>12.643587635340568</c:v>
                </c:pt>
                <c:pt idx="186">
                  <c:v>12.617367035073505</c:v>
                </c:pt>
                <c:pt idx="187">
                  <c:v>12.186068916414724</c:v>
                </c:pt>
                <c:pt idx="188">
                  <c:v>15.229787223479587</c:v>
                </c:pt>
                <c:pt idx="189">
                  <c:v>14.818125480742397</c:v>
                </c:pt>
                <c:pt idx="190">
                  <c:v>15.146962241477544</c:v>
                </c:pt>
                <c:pt idx="191">
                  <c:v>15.425441432612903</c:v>
                </c:pt>
                <c:pt idx="192">
                  <c:v>14.543398197916529</c:v>
                </c:pt>
                <c:pt idx="193">
                  <c:v>14.632972046455683</c:v>
                </c:pt>
                <c:pt idx="194">
                  <c:v>14.953789125564688</c:v>
                </c:pt>
                <c:pt idx="195">
                  <c:v>15.175419764303948</c:v>
                </c:pt>
                <c:pt idx="196">
                  <c:v>15.974074996469952</c:v>
                </c:pt>
                <c:pt idx="197">
                  <c:v>16.676471588027717</c:v>
                </c:pt>
                <c:pt idx="198">
                  <c:v>17.567741890435091</c:v>
                </c:pt>
                <c:pt idx="199">
                  <c:v>21.025687807099327</c:v>
                </c:pt>
                <c:pt idx="200">
                  <c:v>21.127992649060293</c:v>
                </c:pt>
                <c:pt idx="201">
                  <c:v>20.849184217196619</c:v>
                </c:pt>
                <c:pt idx="202">
                  <c:v>21.178643633984162</c:v>
                </c:pt>
                <c:pt idx="203">
                  <c:v>21.9618151782587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1-4B32-ACEF-DD0737EDEC3A}"/>
            </c:ext>
          </c:extLst>
        </c:ser>
        <c:ser>
          <c:idx val="1"/>
          <c:order val="1"/>
          <c:tx>
            <c:strRef>
              <c:f>nv_stra!$O$1</c:f>
              <c:strCache>
                <c:ptCount val="1"/>
                <c:pt idx="0">
                  <c:v>万得全A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nv_stra!$O$16:$O$300</c:f>
              <c:numCache>
                <c:formatCode>General</c:formatCode>
                <c:ptCount val="285"/>
                <c:pt idx="0">
                  <c:v>1</c:v>
                </c:pt>
                <c:pt idx="1">
                  <c:v>1.0719822903291396</c:v>
                </c:pt>
                <c:pt idx="2">
                  <c:v>1.2898282167894253</c:v>
                </c:pt>
                <c:pt idx="3">
                  <c:v>1.3777361611293817</c:v>
                </c:pt>
                <c:pt idx="4">
                  <c:v>1.44079483772383</c:v>
                </c:pt>
                <c:pt idx="5">
                  <c:v>1.5531642776062666</c:v>
                </c:pt>
                <c:pt idx="6">
                  <c:v>1.8073827243308827</c:v>
                </c:pt>
                <c:pt idx="7">
                  <c:v>1.5058545477675949</c:v>
                </c:pt>
                <c:pt idx="8">
                  <c:v>1.5690017523241682</c:v>
                </c:pt>
                <c:pt idx="9">
                  <c:v>1.7435257180700932</c:v>
                </c:pt>
                <c:pt idx="10">
                  <c:v>1.9692096523350262</c:v>
                </c:pt>
                <c:pt idx="11">
                  <c:v>2.004640681785621</c:v>
                </c:pt>
                <c:pt idx="12">
                  <c:v>1.900940947013702</c:v>
                </c:pt>
                <c:pt idx="13">
                  <c:v>2.0004298322614593</c:v>
                </c:pt>
                <c:pt idx="14">
                  <c:v>2.0506795300785687</c:v>
                </c:pt>
                <c:pt idx="15">
                  <c:v>1.912683147667257</c:v>
                </c:pt>
                <c:pt idx="16">
                  <c:v>1.7661742030210625</c:v>
                </c:pt>
                <c:pt idx="17">
                  <c:v>1.5998555262197731</c:v>
                </c:pt>
                <c:pt idx="18">
                  <c:v>1.8313672800206968</c:v>
                </c:pt>
                <c:pt idx="19">
                  <c:v>1.9498883067721315</c:v>
                </c:pt>
                <c:pt idx="20">
                  <c:v>1.9954860404375792</c:v>
                </c:pt>
                <c:pt idx="21">
                  <c:v>2.2229259652856035</c:v>
                </c:pt>
                <c:pt idx="22">
                  <c:v>2.1933163738123653</c:v>
                </c:pt>
                <c:pt idx="23">
                  <c:v>2.1508335304412647</c:v>
                </c:pt>
                <c:pt idx="24">
                  <c:v>2.0643732217375677</c:v>
                </c:pt>
                <c:pt idx="25">
                  <c:v>2.2481293289511646</c:v>
                </c:pt>
                <c:pt idx="26">
                  <c:v>2.2257585554212254</c:v>
                </c:pt>
                <c:pt idx="27">
                  <c:v>2.1765032267059881</c:v>
                </c:pt>
                <c:pt idx="28">
                  <c:v>2.0159308447985311</c:v>
                </c:pt>
                <c:pt idx="29">
                  <c:v>2.0780824731607344</c:v>
                </c:pt>
                <c:pt idx="30">
                  <c:v>2.0950079731236912</c:v>
                </c:pt>
                <c:pt idx="31">
                  <c:v>1.9976984528203674</c:v>
                </c:pt>
                <c:pt idx="32">
                  <c:v>1.7764406935726347</c:v>
                </c:pt>
                <c:pt idx="33">
                  <c:v>1.8492700467152248</c:v>
                </c:pt>
                <c:pt idx="34">
                  <c:v>1.7567215072113627</c:v>
                </c:pt>
                <c:pt idx="35">
                  <c:v>1.5258060090546806</c:v>
                </c:pt>
                <c:pt idx="36">
                  <c:v>1.561238181492153</c:v>
                </c:pt>
                <c:pt idx="37">
                  <c:v>1.725640936713974</c:v>
                </c:pt>
                <c:pt idx="38">
                  <c:v>1.5969926974734332</c:v>
                </c:pt>
                <c:pt idx="39">
                  <c:v>1.7082989751186333</c:v>
                </c:pt>
                <c:pt idx="40">
                  <c:v>1.7270627212032035</c:v>
                </c:pt>
                <c:pt idx="41">
                  <c:v>1.6147395877776267</c:v>
                </c:pt>
                <c:pt idx="42">
                  <c:v>1.4904800284551007</c:v>
                </c:pt>
                <c:pt idx="43">
                  <c:v>1.4769895205276014</c:v>
                </c:pt>
                <c:pt idx="44">
                  <c:v>1.5087923991219496</c:v>
                </c:pt>
                <c:pt idx="45">
                  <c:v>1.5044499849906368</c:v>
                </c:pt>
                <c:pt idx="46">
                  <c:v>1.3686595024988404</c:v>
                </c:pt>
                <c:pt idx="47">
                  <c:v>1.5820813548456081</c:v>
                </c:pt>
                <c:pt idx="48">
                  <c:v>1.6987547293384355</c:v>
                </c:pt>
                <c:pt idx="49">
                  <c:v>1.7523569598701141</c:v>
                </c:pt>
                <c:pt idx="50">
                  <c:v>1.6868142257705581</c:v>
                </c:pt>
                <c:pt idx="51">
                  <c:v>1.6358926127374511</c:v>
                </c:pt>
                <c:pt idx="52">
                  <c:v>1.8073929887433491</c:v>
                </c:pt>
                <c:pt idx="53">
                  <c:v>1.5271504808523328</c:v>
                </c:pt>
                <c:pt idx="54">
                  <c:v>1.5855943989224874</c:v>
                </c:pt>
                <c:pt idx="55">
                  <c:v>1.7206026248548003</c:v>
                </c:pt>
                <c:pt idx="56">
                  <c:v>1.7965309426789513</c:v>
                </c:pt>
                <c:pt idx="57">
                  <c:v>1.7500324680658323</c:v>
                </c:pt>
                <c:pt idx="58">
                  <c:v>1.8656139573475128</c:v>
                </c:pt>
                <c:pt idx="59">
                  <c:v>1.7951170261075289</c:v>
                </c:pt>
                <c:pt idx="60">
                  <c:v>1.7575062348442281</c:v>
                </c:pt>
                <c:pt idx="61">
                  <c:v>1.788423736998795</c:v>
                </c:pt>
                <c:pt idx="62">
                  <c:v>1.7592608498198201</c:v>
                </c:pt>
                <c:pt idx="63">
                  <c:v>1.7329602811079428</c:v>
                </c:pt>
                <c:pt idx="64">
                  <c:v>1.7472290775850561</c:v>
                </c:pt>
                <c:pt idx="65">
                  <c:v>1.8054514379741933</c:v>
                </c:pt>
                <c:pt idx="66">
                  <c:v>1.98110023711936</c:v>
                </c:pt>
                <c:pt idx="67">
                  <c:v>2.0632453179934331</c:v>
                </c:pt>
                <c:pt idx="68">
                  <c:v>2.2905494425474893</c:v>
                </c:pt>
                <c:pt idx="69">
                  <c:v>2.3465238755866396</c:v>
                </c:pt>
                <c:pt idx="70">
                  <c:v>2.4997510540328771</c:v>
                </c:pt>
                <c:pt idx="71">
                  <c:v>2.6337586757820066</c:v>
                </c:pt>
                <c:pt idx="72">
                  <c:v>2.765384274417928</c:v>
                </c:pt>
                <c:pt idx="73">
                  <c:v>2.9258509049464907</c:v>
                </c:pt>
                <c:pt idx="74">
                  <c:v>3.4889578790574189</c:v>
                </c:pt>
                <c:pt idx="75">
                  <c:v>4.1539581698924639</c:v>
                </c:pt>
                <c:pt idx="76">
                  <c:v>5.0059542173636791</c:v>
                </c:pt>
                <c:pt idx="77">
                  <c:v>4.5359640823574088</c:v>
                </c:pt>
                <c:pt idx="78">
                  <c:v>3.8375234542760102</c:v>
                </c:pt>
                <c:pt idx="79">
                  <c:v>3.260904057017743</c:v>
                </c:pt>
                <c:pt idx="80">
                  <c:v>3.0439468288390943</c:v>
                </c:pt>
                <c:pt idx="81">
                  <c:v>3.6047268790651321</c:v>
                </c:pt>
                <c:pt idx="82">
                  <c:v>3.8398163100361882</c:v>
                </c:pt>
                <c:pt idx="83">
                  <c:v>4.045228189521044</c:v>
                </c:pt>
                <c:pt idx="84">
                  <c:v>2.9081859566903403</c:v>
                </c:pt>
                <c:pt idx="85">
                  <c:v>2.8642194342891627</c:v>
                </c:pt>
                <c:pt idx="86">
                  <c:v>3.3492865493677462</c:v>
                </c:pt>
                <c:pt idx="87">
                  <c:v>3.3233642872363873</c:v>
                </c:pt>
                <c:pt idx="88">
                  <c:v>3.270086813121901</c:v>
                </c:pt>
                <c:pt idx="89">
                  <c:v>3.409796728415913</c:v>
                </c:pt>
                <c:pt idx="90">
                  <c:v>3.4677367958108758</c:v>
                </c:pt>
                <c:pt idx="91">
                  <c:v>3.6029449028086162</c:v>
                </c:pt>
                <c:pt idx="92">
                  <c:v>3.5509477875089517</c:v>
                </c:pt>
                <c:pt idx="93">
                  <c:v>3.67626999175963</c:v>
                </c:pt>
                <c:pt idx="94">
                  <c:v>3.800757704341958</c:v>
                </c:pt>
                <c:pt idx="95">
                  <c:v>3.6285765599025743</c:v>
                </c:pt>
                <c:pt idx="96">
                  <c:v>3.6516839983812797</c:v>
                </c:pt>
                <c:pt idx="97">
                  <c:v>3.7954191992180895</c:v>
                </c:pt>
                <c:pt idx="98">
                  <c:v>3.7501125722698263</c:v>
                </c:pt>
                <c:pt idx="99">
                  <c:v>3.5800011538899215</c:v>
                </c:pt>
                <c:pt idx="100">
                  <c:v>3.3814584413531374</c:v>
                </c:pt>
                <c:pt idx="101">
                  <c:v>3.534168728692777</c:v>
                </c:pt>
                <c:pt idx="102">
                  <c:v>3.5907200320488792</c:v>
                </c:pt>
                <c:pt idx="103">
                  <c:v>3.6960512926016404</c:v>
                </c:pt>
                <c:pt idx="104">
                  <c:v>3.767976386233256</c:v>
                </c:pt>
                <c:pt idx="105">
                  <c:v>3.7515889625005383</c:v>
                </c:pt>
                <c:pt idx="106">
                  <c:v>3.574193677197024</c:v>
                </c:pt>
                <c:pt idx="107">
                  <c:v>3.5591855249541156</c:v>
                </c:pt>
                <c:pt idx="108">
                  <c:v>3.5013223178983588</c:v>
                </c:pt>
                <c:pt idx="109">
                  <c:v>3.3738604508051386</c:v>
                </c:pt>
                <c:pt idx="110">
                  <c:v>3.4312537115909256</c:v>
                </c:pt>
                <c:pt idx="111">
                  <c:v>3.281802694345751</c:v>
                </c:pt>
                <c:pt idx="112">
                  <c:v>3.2636311970676029</c:v>
                </c:pt>
                <c:pt idx="113">
                  <c:v>2.9505362870227896</c:v>
                </c:pt>
                <c:pt idx="114">
                  <c:v>2.9519948808030834</c:v>
                </c:pt>
                <c:pt idx="115">
                  <c:v>2.7306732670111913</c:v>
                </c:pt>
                <c:pt idx="116">
                  <c:v>2.7372254222737795</c:v>
                </c:pt>
                <c:pt idx="117">
                  <c:v>2.4519934990822625</c:v>
                </c:pt>
                <c:pt idx="118">
                  <c:v>2.5435686897797565</c:v>
                </c:pt>
                <c:pt idx="119">
                  <c:v>2.4380510267922082</c:v>
                </c:pt>
                <c:pt idx="120">
                  <c:v>2.4381203773864875</c:v>
                </c:pt>
                <c:pt idx="121">
                  <c:v>2.9377593265624808</c:v>
                </c:pt>
                <c:pt idx="122">
                  <c:v>3.2015825761699412</c:v>
                </c:pt>
                <c:pt idx="123">
                  <c:v>3.1001829245297507</c:v>
                </c:pt>
                <c:pt idx="124">
                  <c:v>2.9242089522655705</c:v>
                </c:pt>
                <c:pt idx="125">
                  <c:v>2.963850186225863</c:v>
                </c:pt>
                <c:pt idx="126">
                  <c:v>2.9290570323526608</c:v>
                </c:pt>
                <c:pt idx="127">
                  <c:v>2.8922659573296357</c:v>
                </c:pt>
                <c:pt idx="128">
                  <c:v>2.9222174778707979</c:v>
                </c:pt>
                <c:pt idx="129">
                  <c:v>2.9129289040414506</c:v>
                </c:pt>
                <c:pt idx="130">
                  <c:v>2.8726215091241478</c:v>
                </c:pt>
                <c:pt idx="131">
                  <c:v>3.1186019000881045</c:v>
                </c:pt>
                <c:pt idx="132">
                  <c:v>3.1206867926143906</c:v>
                </c:pt>
                <c:pt idx="133">
                  <c:v>3.1282473216555053</c:v>
                </c:pt>
                <c:pt idx="134">
                  <c:v>2.9454187854209128</c:v>
                </c:pt>
                <c:pt idx="135">
                  <c:v>3.0661573257177133</c:v>
                </c:pt>
                <c:pt idx="136">
                  <c:v>3.1365573537787648</c:v>
                </c:pt>
                <c:pt idx="137">
                  <c:v>3.3575782613518217</c:v>
                </c:pt>
                <c:pt idx="138">
                  <c:v>3.8333283496536974</c:v>
                </c:pt>
                <c:pt idx="139">
                  <c:v>3.9340390903539579</c:v>
                </c:pt>
                <c:pt idx="140">
                  <c:v>3.6862442094979548</c:v>
                </c:pt>
                <c:pt idx="141">
                  <c:v>3.7184584535497502</c:v>
                </c:pt>
                <c:pt idx="142">
                  <c:v>3.878146057562577</c:v>
                </c:pt>
                <c:pt idx="143">
                  <c:v>3.9154633024365677</c:v>
                </c:pt>
                <c:pt idx="144">
                  <c:v>3.8339241724570852</c:v>
                </c:pt>
                <c:pt idx="145">
                  <c:v>3.8935611332519677</c:v>
                </c:pt>
                <c:pt idx="146">
                  <c:v>3.8517111994549129</c:v>
                </c:pt>
                <c:pt idx="147">
                  <c:v>3.917961118972991</c:v>
                </c:pt>
                <c:pt idx="148">
                  <c:v>4.1237118525407324</c:v>
                </c:pt>
                <c:pt idx="149">
                  <c:v>4.20974095435158</c:v>
                </c:pt>
                <c:pt idx="150">
                  <c:v>4.2147701398011455</c:v>
                </c:pt>
                <c:pt idx="151">
                  <c:v>4.5072440904772018</c:v>
                </c:pt>
                <c:pt idx="152">
                  <c:v>4.4038964248686865</c:v>
                </c:pt>
                <c:pt idx="153">
                  <c:v>4.368617878956603</c:v>
                </c:pt>
                <c:pt idx="154">
                  <c:v>4.5975027289301069</c:v>
                </c:pt>
                <c:pt idx="155">
                  <c:v>4.6865876662342272</c:v>
                </c:pt>
                <c:pt idx="156">
                  <c:v>4.2361713466269757</c:v>
                </c:pt>
                <c:pt idx="157">
                  <c:v>4.4022536363283029</c:v>
                </c:pt>
                <c:pt idx="158">
                  <c:v>4.0851625559089513</c:v>
                </c:pt>
                <c:pt idx="159">
                  <c:v>3.6276415643243594</c:v>
                </c:pt>
                <c:pt idx="160">
                  <c:v>3.9441775109707971</c:v>
                </c:pt>
                <c:pt idx="161">
                  <c:v>4.2905088334077517</c:v>
                </c:pt>
                <c:pt idx="162">
                  <c:v>4.2745562872887559</c:v>
                </c:pt>
                <c:pt idx="163">
                  <c:v>4.1651460978032411</c:v>
                </c:pt>
                <c:pt idx="164">
                  <c:v>3.8294862535036236</c:v>
                </c:pt>
                <c:pt idx="165">
                  <c:v>3.7770927581097569</c:v>
                </c:pt>
                <c:pt idx="166">
                  <c:v>4.0944497356808434</c:v>
                </c:pt>
                <c:pt idx="167">
                  <c:v>3.9789919927979036</c:v>
                </c:pt>
                <c:pt idx="168">
                  <c:v>4.2601537950640704</c:v>
                </c:pt>
                <c:pt idx="169">
                  <c:v>4.3465363668920691</c:v>
                </c:pt>
                <c:pt idx="170">
                  <c:v>4.2806698599622468</c:v>
                </c:pt>
                <c:pt idx="171">
                  <c:v>4.1789028487115383</c:v>
                </c:pt>
                <c:pt idx="172">
                  <c:v>4.0571900900615656</c:v>
                </c:pt>
                <c:pt idx="173">
                  <c:v>4.1663451581605413</c:v>
                </c:pt>
                <c:pt idx="174">
                  <c:v>4.2702558627451923</c:v>
                </c:pt>
                <c:pt idx="175">
                  <c:v>4.0238247041627311</c:v>
                </c:pt>
                <c:pt idx="176">
                  <c:v>3.993572664664665</c:v>
                </c:pt>
                <c:pt idx="177">
                  <c:v>3.8975229881642321</c:v>
                </c:pt>
                <c:pt idx="178">
                  <c:v>3.9499597210365298</c:v>
                </c:pt>
                <c:pt idx="179">
                  <c:v>3.8661336300849483</c:v>
                </c:pt>
                <c:pt idx="180">
                  <c:v>3.3398423684331022</c:v>
                </c:pt>
                <c:pt idx="181">
                  <c:v>3.633945423301471</c:v>
                </c:pt>
                <c:pt idx="182">
                  <c:v>3.716546719047221</c:v>
                </c:pt>
                <c:pt idx="183">
                  <c:v>3.7341065396049489</c:v>
                </c:pt>
                <c:pt idx="184">
                  <c:v>3.6824891921046068</c:v>
                </c:pt>
                <c:pt idx="185">
                  <c:v>3.4119960087137065</c:v>
                </c:pt>
                <c:pt idx="186">
                  <c:v>3.4168452104192828</c:v>
                </c:pt>
                <c:pt idx="187">
                  <c:v>3.2620674378549923</c:v>
                </c:pt>
                <c:pt idx="188">
                  <c:v>3.9934682930805145</c:v>
                </c:pt>
                <c:pt idx="189">
                  <c:v>4.2162965086704691</c:v>
                </c:pt>
                <c:pt idx="190">
                  <c:v>4.3159597348042666</c:v>
                </c:pt>
                <c:pt idx="191">
                  <c:v>4.1856778583004326</c:v>
                </c:pt>
                <c:pt idx="192">
                  <c:v>4.0907960068047142</c:v>
                </c:pt>
                <c:pt idx="193">
                  <c:v>4.2760317706419828</c:v>
                </c:pt>
                <c:pt idx="194">
                  <c:v>4.2728144644734014</c:v>
                </c:pt>
                <c:pt idx="195">
                  <c:v>4.1512922783484809</c:v>
                </c:pt>
                <c:pt idx="196">
                  <c:v>4.2943254526209191</c:v>
                </c:pt>
                <c:pt idx="197">
                  <c:v>4.4938943555058932</c:v>
                </c:pt>
                <c:pt idx="198">
                  <c:v>4.6781671446439095</c:v>
                </c:pt>
                <c:pt idx="199">
                  <c:v>5.1321618235831208</c:v>
                </c:pt>
                <c:pt idx="200">
                  <c:v>5.2244488189173097</c:v>
                </c:pt>
                <c:pt idx="201">
                  <c:v>5.2783723307399022</c:v>
                </c:pt>
                <c:pt idx="202">
                  <c:v>5.2267812512807534</c:v>
                </c:pt>
                <c:pt idx="203">
                  <c:v>5.4041252703176879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1-4B32-ACEF-DD0737EDE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61440"/>
        <c:axId val="-1236760896"/>
      </c:lineChart>
      <c:dateAx>
        <c:axId val="-12367614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60896"/>
        <c:crosses val="autoZero"/>
        <c:auto val="1"/>
        <c:lblOffset val="100"/>
        <c:baseTimeUnit val="months"/>
      </c:dateAx>
      <c:valAx>
        <c:axId val="-123676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6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nv_stra!$L$1</c:f>
              <c:strCache>
                <c:ptCount val="1"/>
                <c:pt idx="0">
                  <c:v>质量红利策略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nv_stra!$L$16:$L$300</c:f>
              <c:numCache>
                <c:formatCode>General</c:formatCode>
                <c:ptCount val="285"/>
                <c:pt idx="0">
                  <c:v>1</c:v>
                </c:pt>
                <c:pt idx="1">
                  <c:v>1.00950570939967</c:v>
                </c:pt>
                <c:pt idx="2">
                  <c:v>1.2314590371201699</c:v>
                </c:pt>
                <c:pt idx="3">
                  <c:v>1.45546537585969</c:v>
                </c:pt>
                <c:pt idx="4">
                  <c:v>1.40332378394405</c:v>
                </c:pt>
                <c:pt idx="5">
                  <c:v>1.41016957469366</c:v>
                </c:pt>
                <c:pt idx="6">
                  <c:v>1.69069354690547</c:v>
                </c:pt>
                <c:pt idx="7">
                  <c:v>1.54325476867994</c:v>
                </c:pt>
                <c:pt idx="8">
                  <c:v>1.5805198779534699</c:v>
                </c:pt>
                <c:pt idx="9">
                  <c:v>1.83246079968943</c:v>
                </c:pt>
                <c:pt idx="10">
                  <c:v>1.9744662146335199</c:v>
                </c:pt>
                <c:pt idx="11">
                  <c:v>2.0700951352868699</c:v>
                </c:pt>
                <c:pt idx="12">
                  <c:v>1.9537516158355599</c:v>
                </c:pt>
                <c:pt idx="13">
                  <c:v>1.9962637399966501</c:v>
                </c:pt>
                <c:pt idx="14">
                  <c:v>2.02122636502917</c:v>
                </c:pt>
                <c:pt idx="15">
                  <c:v>1.84136894235096</c:v>
                </c:pt>
                <c:pt idx="16">
                  <c:v>1.7359377075893401</c:v>
                </c:pt>
                <c:pt idx="17">
                  <c:v>1.56228646818518</c:v>
                </c:pt>
                <c:pt idx="18">
                  <c:v>1.77115151492843</c:v>
                </c:pt>
                <c:pt idx="19">
                  <c:v>1.8998488022336</c:v>
                </c:pt>
                <c:pt idx="20">
                  <c:v>1.9365667107612199</c:v>
                </c:pt>
                <c:pt idx="21">
                  <c:v>2.1106450525767602</c:v>
                </c:pt>
                <c:pt idx="22">
                  <c:v>2.0566366438924102</c:v>
                </c:pt>
                <c:pt idx="23">
                  <c:v>1.98735881793406</c:v>
                </c:pt>
                <c:pt idx="24">
                  <c:v>1.9922606895110699</c:v>
                </c:pt>
                <c:pt idx="25">
                  <c:v>2.1897428273117199</c:v>
                </c:pt>
                <c:pt idx="26">
                  <c:v>2.1426076483942902</c:v>
                </c:pt>
                <c:pt idx="27">
                  <c:v>2.24417685528535</c:v>
                </c:pt>
                <c:pt idx="28">
                  <c:v>2.0850509417258198</c:v>
                </c:pt>
                <c:pt idx="29">
                  <c:v>2.1831586104599201</c:v>
                </c:pt>
                <c:pt idx="30">
                  <c:v>2.1397631639229799</c:v>
                </c:pt>
                <c:pt idx="31">
                  <c:v>2.0656013914576898</c:v>
                </c:pt>
                <c:pt idx="32">
                  <c:v>1.8187941048831799</c:v>
                </c:pt>
                <c:pt idx="33">
                  <c:v>1.8656330714929701</c:v>
                </c:pt>
                <c:pt idx="34">
                  <c:v>1.7780889545323899</c:v>
                </c:pt>
                <c:pt idx="35">
                  <c:v>1.5338539915459899</c:v>
                </c:pt>
                <c:pt idx="36">
                  <c:v>1.5690030747149999</c:v>
                </c:pt>
                <c:pt idx="37">
                  <c:v>1.73237597070908</c:v>
                </c:pt>
                <c:pt idx="38">
                  <c:v>1.6165944480572401</c:v>
                </c:pt>
                <c:pt idx="39">
                  <c:v>1.7692498996235599</c:v>
                </c:pt>
                <c:pt idx="40">
                  <c:v>1.7905416644772401</c:v>
                </c:pt>
                <c:pt idx="41">
                  <c:v>1.69889167007731</c:v>
                </c:pt>
                <c:pt idx="42">
                  <c:v>1.5932962155220101</c:v>
                </c:pt>
                <c:pt idx="43">
                  <c:v>1.54928993479588</c:v>
                </c:pt>
                <c:pt idx="44">
                  <c:v>1.5606283293683301</c:v>
                </c:pt>
                <c:pt idx="45">
                  <c:v>1.5282874063985401</c:v>
                </c:pt>
                <c:pt idx="46">
                  <c:v>1.3431545954816999</c:v>
                </c:pt>
                <c:pt idx="47">
                  <c:v>1.51406494389279</c:v>
                </c:pt>
                <c:pt idx="48">
                  <c:v>1.54747505228176</c:v>
                </c:pt>
                <c:pt idx="49">
                  <c:v>1.6254492836169201</c:v>
                </c:pt>
                <c:pt idx="50">
                  <c:v>1.4944222190365</c:v>
                </c:pt>
                <c:pt idx="51">
                  <c:v>1.4463140708168001</c:v>
                </c:pt>
                <c:pt idx="52">
                  <c:v>1.6877525564174101</c:v>
                </c:pt>
                <c:pt idx="53">
                  <c:v>1.4794640221014299</c:v>
                </c:pt>
                <c:pt idx="54">
                  <c:v>1.5053050006584401</c:v>
                </c:pt>
                <c:pt idx="55">
                  <c:v>1.6064015664879401</c:v>
                </c:pt>
                <c:pt idx="56">
                  <c:v>1.5707550945311199</c:v>
                </c:pt>
                <c:pt idx="57">
                  <c:v>1.58239474795918</c:v>
                </c:pt>
                <c:pt idx="58">
                  <c:v>1.6807027671622401</c:v>
                </c:pt>
                <c:pt idx="59">
                  <c:v>1.6719520667544201</c:v>
                </c:pt>
                <c:pt idx="60">
                  <c:v>1.58694141576047</c:v>
                </c:pt>
                <c:pt idx="61">
                  <c:v>1.6358016610350601</c:v>
                </c:pt>
                <c:pt idx="62">
                  <c:v>1.63914512677318</c:v>
                </c:pt>
                <c:pt idx="63">
                  <c:v>1.6836723919210199</c:v>
                </c:pt>
                <c:pt idx="64">
                  <c:v>1.6643504609516699</c:v>
                </c:pt>
                <c:pt idx="65">
                  <c:v>1.7398460636767401</c:v>
                </c:pt>
                <c:pt idx="66">
                  <c:v>1.87942271478138</c:v>
                </c:pt>
                <c:pt idx="67">
                  <c:v>1.87389468029703</c:v>
                </c:pt>
                <c:pt idx="68">
                  <c:v>1.9945364692954399</c:v>
                </c:pt>
                <c:pt idx="69">
                  <c:v>2.0287864781261802</c:v>
                </c:pt>
                <c:pt idx="70">
                  <c:v>2.08617495506377</c:v>
                </c:pt>
                <c:pt idx="71">
                  <c:v>2.2914015955853402</c:v>
                </c:pt>
                <c:pt idx="72">
                  <c:v>2.45950206853276</c:v>
                </c:pt>
                <c:pt idx="73">
                  <c:v>2.56733553997138</c:v>
                </c:pt>
                <c:pt idx="74">
                  <c:v>2.87365355915728</c:v>
                </c:pt>
                <c:pt idx="75">
                  <c:v>3.3666330736885501</c:v>
                </c:pt>
                <c:pt idx="76">
                  <c:v>4.54530406894634</c:v>
                </c:pt>
                <c:pt idx="77">
                  <c:v>4.6678504296035799</c:v>
                </c:pt>
                <c:pt idx="78">
                  <c:v>4.3054172570655904</c:v>
                </c:pt>
                <c:pt idx="79">
                  <c:v>3.74675901016123</c:v>
                </c:pt>
                <c:pt idx="80">
                  <c:v>3.5030328724225401</c:v>
                </c:pt>
                <c:pt idx="81">
                  <c:v>3.9356029282195899</c:v>
                </c:pt>
                <c:pt idx="82">
                  <c:v>4.2708019927457599</c:v>
                </c:pt>
                <c:pt idx="83">
                  <c:v>4.5912490269526902</c:v>
                </c:pt>
                <c:pt idx="84">
                  <c:v>3.4398055864421102</c:v>
                </c:pt>
                <c:pt idx="85">
                  <c:v>3.3645343568127601</c:v>
                </c:pt>
                <c:pt idx="86">
                  <c:v>3.9616272587297399</c:v>
                </c:pt>
                <c:pt idx="87">
                  <c:v>4.0013484010070499</c:v>
                </c:pt>
                <c:pt idx="88">
                  <c:v>4.1282620369779801</c:v>
                </c:pt>
                <c:pt idx="89">
                  <c:v>4.55640998046922</c:v>
                </c:pt>
                <c:pt idx="90">
                  <c:v>4.7871349692313103</c:v>
                </c:pt>
                <c:pt idx="91">
                  <c:v>4.7383627354398401</c:v>
                </c:pt>
                <c:pt idx="92">
                  <c:v>4.6922547042081604</c:v>
                </c:pt>
                <c:pt idx="93">
                  <c:v>4.9590252392245997</c:v>
                </c:pt>
                <c:pt idx="94">
                  <c:v>5.2807671687077198</c:v>
                </c:pt>
                <c:pt idx="95">
                  <c:v>4.9957740456314204</c:v>
                </c:pt>
                <c:pt idx="96">
                  <c:v>5.0552634729226797</c:v>
                </c:pt>
                <c:pt idx="97">
                  <c:v>5.3038810377964296</c:v>
                </c:pt>
                <c:pt idx="98">
                  <c:v>5.3944716541462796</c:v>
                </c:pt>
                <c:pt idx="99">
                  <c:v>5.2781586027017697</c:v>
                </c:pt>
                <c:pt idx="100">
                  <c:v>5.2834387264704699</c:v>
                </c:pt>
                <c:pt idx="101">
                  <c:v>5.6226199013546401</c:v>
                </c:pt>
                <c:pt idx="102">
                  <c:v>5.7665205824876402</c:v>
                </c:pt>
                <c:pt idx="103">
                  <c:v>5.8968632252591</c:v>
                </c:pt>
                <c:pt idx="104">
                  <c:v>6.3088958637803296</c:v>
                </c:pt>
                <c:pt idx="105">
                  <c:v>6.4307997569023803</c:v>
                </c:pt>
                <c:pt idx="106">
                  <c:v>6.4011983586367904</c:v>
                </c:pt>
                <c:pt idx="107">
                  <c:v>6.5941895628309801</c:v>
                </c:pt>
                <c:pt idx="108">
                  <c:v>6.6165759061284399</c:v>
                </c:pt>
                <c:pt idx="109">
                  <c:v>6.3426603018436598</c:v>
                </c:pt>
                <c:pt idx="110">
                  <c:v>6.1528041560669999</c:v>
                </c:pt>
                <c:pt idx="111">
                  <c:v>6.1221723710203202</c:v>
                </c:pt>
                <c:pt idx="112">
                  <c:v>6.3834762105094303</c:v>
                </c:pt>
                <c:pt idx="113">
                  <c:v>6.06765700747445</c:v>
                </c:pt>
                <c:pt idx="114">
                  <c:v>5.86445282390443</c:v>
                </c:pt>
                <c:pt idx="115">
                  <c:v>5.4546666952073002</c:v>
                </c:pt>
                <c:pt idx="116">
                  <c:v>5.7426649764000102</c:v>
                </c:pt>
                <c:pt idx="117">
                  <c:v>5.16958578068341</c:v>
                </c:pt>
                <c:pt idx="118">
                  <c:v>5.3193844971578699</c:v>
                </c:pt>
                <c:pt idx="119">
                  <c:v>5.1546218960894397</c:v>
                </c:pt>
                <c:pt idx="120">
                  <c:v>5.4555327504500299</c:v>
                </c:pt>
                <c:pt idx="121">
                  <c:v>6.15695496915039</c:v>
                </c:pt>
                <c:pt idx="122">
                  <c:v>6.8655785063613699</c:v>
                </c:pt>
                <c:pt idx="123">
                  <c:v>6.7920554392127697</c:v>
                </c:pt>
                <c:pt idx="124">
                  <c:v>6.5426755760274897</c:v>
                </c:pt>
                <c:pt idx="125">
                  <c:v>7.0866354136803897</c:v>
                </c:pt>
                <c:pt idx="126">
                  <c:v>6.8622522484474002</c:v>
                </c:pt>
                <c:pt idx="127">
                  <c:v>6.6936311131333603</c:v>
                </c:pt>
                <c:pt idx="128">
                  <c:v>6.7127186285729499</c:v>
                </c:pt>
                <c:pt idx="129">
                  <c:v>6.78277406076168</c:v>
                </c:pt>
                <c:pt idx="130">
                  <c:v>6.7874457529185603</c:v>
                </c:pt>
                <c:pt idx="131">
                  <c:v>7.4284858810535299</c:v>
                </c:pt>
                <c:pt idx="132">
                  <c:v>7.0592565960111502</c:v>
                </c:pt>
                <c:pt idx="133">
                  <c:v>6.8208333204349998</c:v>
                </c:pt>
                <c:pt idx="134">
                  <c:v>6.2394708187725598</c:v>
                </c:pt>
                <c:pt idx="135">
                  <c:v>6.60514011883319</c:v>
                </c:pt>
                <c:pt idx="136">
                  <c:v>6.8527565048482204</c:v>
                </c:pt>
                <c:pt idx="137">
                  <c:v>7.2408097168585801</c:v>
                </c:pt>
                <c:pt idx="138">
                  <c:v>8.3619873976607195</c:v>
                </c:pt>
                <c:pt idx="139">
                  <c:v>8.6549548013314794</c:v>
                </c:pt>
                <c:pt idx="140">
                  <c:v>7.9861264680497897</c:v>
                </c:pt>
                <c:pt idx="141">
                  <c:v>7.8844847455492504</c:v>
                </c:pt>
                <c:pt idx="142">
                  <c:v>8.3940756260123894</c:v>
                </c:pt>
                <c:pt idx="143">
                  <c:v>7.7937631294616097</c:v>
                </c:pt>
                <c:pt idx="144">
                  <c:v>7.3025902125102702</c:v>
                </c:pt>
                <c:pt idx="145">
                  <c:v>7.8262496992448298</c:v>
                </c:pt>
                <c:pt idx="146">
                  <c:v>7.9191897115524803</c:v>
                </c:pt>
                <c:pt idx="147">
                  <c:v>7.89522016053313</c:v>
                </c:pt>
                <c:pt idx="148">
                  <c:v>7.77392600280427</c:v>
                </c:pt>
                <c:pt idx="149">
                  <c:v>7.4441942002662804</c:v>
                </c:pt>
                <c:pt idx="150">
                  <c:v>6.6802715850531502</c:v>
                </c:pt>
                <c:pt idx="151">
                  <c:v>7.0190712368289603</c:v>
                </c:pt>
                <c:pt idx="152">
                  <c:v>7.1006313244949304</c:v>
                </c:pt>
                <c:pt idx="153">
                  <c:v>6.9386675719904698</c:v>
                </c:pt>
                <c:pt idx="154">
                  <c:v>7.2078200686713902</c:v>
                </c:pt>
                <c:pt idx="155">
                  <c:v>7.7434040886306104</c:v>
                </c:pt>
                <c:pt idx="156">
                  <c:v>7.1401828367817304</c:v>
                </c:pt>
                <c:pt idx="157">
                  <c:v>7.4234157896444701</c:v>
                </c:pt>
                <c:pt idx="158">
                  <c:v>6.99140283825668</c:v>
                </c:pt>
                <c:pt idx="159">
                  <c:v>6.3172902364183301</c:v>
                </c:pt>
                <c:pt idx="160">
                  <c:v>6.6577336573157604</c:v>
                </c:pt>
                <c:pt idx="161">
                  <c:v>7.0675750490972504</c:v>
                </c:pt>
                <c:pt idx="162">
                  <c:v>6.6757412076870404</c:v>
                </c:pt>
                <c:pt idx="163">
                  <c:v>6.46831912989665</c:v>
                </c:pt>
                <c:pt idx="164">
                  <c:v>6.21782846919234</c:v>
                </c:pt>
                <c:pt idx="165">
                  <c:v>5.8525356151074899</c:v>
                </c:pt>
                <c:pt idx="166">
                  <c:v>6.4860938735312104</c:v>
                </c:pt>
                <c:pt idx="167">
                  <c:v>6.3678221014004803</c:v>
                </c:pt>
                <c:pt idx="168">
                  <c:v>6.8741717651406002</c:v>
                </c:pt>
                <c:pt idx="169">
                  <c:v>7.0427451171889297</c:v>
                </c:pt>
                <c:pt idx="170">
                  <c:v>6.7643038410605696</c:v>
                </c:pt>
                <c:pt idx="171">
                  <c:v>7.4422110422085597</c:v>
                </c:pt>
                <c:pt idx="172">
                  <c:v>7.0993166475010199</c:v>
                </c:pt>
                <c:pt idx="173">
                  <c:v>7.3266457787616499</c:v>
                </c:pt>
                <c:pt idx="174">
                  <c:v>7.84115774880107</c:v>
                </c:pt>
                <c:pt idx="175">
                  <c:v>7.4185951467348303</c:v>
                </c:pt>
                <c:pt idx="176">
                  <c:v>7.6165551942251</c:v>
                </c:pt>
                <c:pt idx="177">
                  <c:v>7.3680510690494696</c:v>
                </c:pt>
                <c:pt idx="178">
                  <c:v>7.4187777175144696</c:v>
                </c:pt>
                <c:pt idx="179">
                  <c:v>7.5739129067301096</c:v>
                </c:pt>
                <c:pt idx="180">
                  <c:v>7.1213773009821999</c:v>
                </c:pt>
                <c:pt idx="181">
                  <c:v>7.7170772435781103</c:v>
                </c:pt>
                <c:pt idx="182">
                  <c:v>7.6794830913305603</c:v>
                </c:pt>
                <c:pt idx="183">
                  <c:v>7.7906755665673</c:v>
                </c:pt>
                <c:pt idx="184">
                  <c:v>7.9100414951610096</c:v>
                </c:pt>
                <c:pt idx="185">
                  <c:v>7.5641968965061501</c:v>
                </c:pt>
                <c:pt idx="186">
                  <c:v>7.0241520298092199</c:v>
                </c:pt>
                <c:pt idx="187">
                  <c:v>6.5364943152859798</c:v>
                </c:pt>
                <c:pt idx="188">
                  <c:v>7.5315408399624397</c:v>
                </c:pt>
                <c:pt idx="189">
                  <c:v>8.8423695395499706</c:v>
                </c:pt>
                <c:pt idx="190">
                  <c:v>8.5861265595831799</c:v>
                </c:pt>
                <c:pt idx="191">
                  <c:v>8.6501046879181303</c:v>
                </c:pt>
                <c:pt idx="192">
                  <c:v>8.4171858115944094</c:v>
                </c:pt>
                <c:pt idx="193">
                  <c:v>8.6377264702497492</c:v>
                </c:pt>
                <c:pt idx="194">
                  <c:v>8.3927338798209696</c:v>
                </c:pt>
                <c:pt idx="195">
                  <c:v>8.1459142364500501</c:v>
                </c:pt>
                <c:pt idx="196">
                  <c:v>8.7336729718418002</c:v>
                </c:pt>
                <c:pt idx="197">
                  <c:v>10.4747128675008</c:v>
                </c:pt>
                <c:pt idx="198">
                  <c:v>10.3173866742497</c:v>
                </c:pt>
                <c:pt idx="199">
                  <c:v>12.4654805472232</c:v>
                </c:pt>
                <c:pt idx="200">
                  <c:v>13.525050663746301</c:v>
                </c:pt>
                <c:pt idx="201">
                  <c:v>13.394664271349701</c:v>
                </c:pt>
                <c:pt idx="202">
                  <c:v>12.7111879821627</c:v>
                </c:pt>
                <c:pt idx="203">
                  <c:v>14.376069978751399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9-4515-AE39-16C2E62DEDFA}"/>
            </c:ext>
          </c:extLst>
        </c:ser>
        <c:ser>
          <c:idx val="1"/>
          <c:order val="1"/>
          <c:tx>
            <c:strRef>
              <c:f>nv_stra!$O$1</c:f>
              <c:strCache>
                <c:ptCount val="1"/>
                <c:pt idx="0">
                  <c:v>万得全A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nv_stra!$O$16:$O$300</c:f>
              <c:numCache>
                <c:formatCode>General</c:formatCode>
                <c:ptCount val="285"/>
                <c:pt idx="0">
                  <c:v>1</c:v>
                </c:pt>
                <c:pt idx="1">
                  <c:v>1.0719822903291396</c:v>
                </c:pt>
                <c:pt idx="2">
                  <c:v>1.2898282167894253</c:v>
                </c:pt>
                <c:pt idx="3">
                  <c:v>1.3777361611293817</c:v>
                </c:pt>
                <c:pt idx="4">
                  <c:v>1.44079483772383</c:v>
                </c:pt>
                <c:pt idx="5">
                  <c:v>1.5531642776062666</c:v>
                </c:pt>
                <c:pt idx="6">
                  <c:v>1.8073827243308827</c:v>
                </c:pt>
                <c:pt idx="7">
                  <c:v>1.5058545477675949</c:v>
                </c:pt>
                <c:pt idx="8">
                  <c:v>1.5690017523241682</c:v>
                </c:pt>
                <c:pt idx="9">
                  <c:v>1.7435257180700932</c:v>
                </c:pt>
                <c:pt idx="10">
                  <c:v>1.9692096523350262</c:v>
                </c:pt>
                <c:pt idx="11">
                  <c:v>2.004640681785621</c:v>
                </c:pt>
                <c:pt idx="12">
                  <c:v>1.900940947013702</c:v>
                </c:pt>
                <c:pt idx="13">
                  <c:v>2.0004298322614593</c:v>
                </c:pt>
                <c:pt idx="14">
                  <c:v>2.0506795300785687</c:v>
                </c:pt>
                <c:pt idx="15">
                  <c:v>1.912683147667257</c:v>
                </c:pt>
                <c:pt idx="16">
                  <c:v>1.7661742030210625</c:v>
                </c:pt>
                <c:pt idx="17">
                  <c:v>1.5998555262197731</c:v>
                </c:pt>
                <c:pt idx="18">
                  <c:v>1.8313672800206968</c:v>
                </c:pt>
                <c:pt idx="19">
                  <c:v>1.9498883067721315</c:v>
                </c:pt>
                <c:pt idx="20">
                  <c:v>1.9954860404375792</c:v>
                </c:pt>
                <c:pt idx="21">
                  <c:v>2.2229259652856035</c:v>
                </c:pt>
                <c:pt idx="22">
                  <c:v>2.1933163738123653</c:v>
                </c:pt>
                <c:pt idx="23">
                  <c:v>2.1508335304412647</c:v>
                </c:pt>
                <c:pt idx="24">
                  <c:v>2.0643732217375677</c:v>
                </c:pt>
                <c:pt idx="25">
                  <c:v>2.2481293289511646</c:v>
                </c:pt>
                <c:pt idx="26">
                  <c:v>2.2257585554212254</c:v>
                </c:pt>
                <c:pt idx="27">
                  <c:v>2.1765032267059881</c:v>
                </c:pt>
                <c:pt idx="28">
                  <c:v>2.0159308447985311</c:v>
                </c:pt>
                <c:pt idx="29">
                  <c:v>2.0780824731607344</c:v>
                </c:pt>
                <c:pt idx="30">
                  <c:v>2.0950079731236912</c:v>
                </c:pt>
                <c:pt idx="31">
                  <c:v>1.9976984528203674</c:v>
                </c:pt>
                <c:pt idx="32">
                  <c:v>1.7764406935726347</c:v>
                </c:pt>
                <c:pt idx="33">
                  <c:v>1.8492700467152248</c:v>
                </c:pt>
                <c:pt idx="34">
                  <c:v>1.7567215072113627</c:v>
                </c:pt>
                <c:pt idx="35">
                  <c:v>1.5258060090546806</c:v>
                </c:pt>
                <c:pt idx="36">
                  <c:v>1.561238181492153</c:v>
                </c:pt>
                <c:pt idx="37">
                  <c:v>1.725640936713974</c:v>
                </c:pt>
                <c:pt idx="38">
                  <c:v>1.5969926974734332</c:v>
                </c:pt>
                <c:pt idx="39">
                  <c:v>1.7082989751186333</c:v>
                </c:pt>
                <c:pt idx="40">
                  <c:v>1.7270627212032035</c:v>
                </c:pt>
                <c:pt idx="41">
                  <c:v>1.6147395877776267</c:v>
                </c:pt>
                <c:pt idx="42">
                  <c:v>1.4904800284551007</c:v>
                </c:pt>
                <c:pt idx="43">
                  <c:v>1.4769895205276014</c:v>
                </c:pt>
                <c:pt idx="44">
                  <c:v>1.5087923991219496</c:v>
                </c:pt>
                <c:pt idx="45">
                  <c:v>1.5044499849906368</c:v>
                </c:pt>
                <c:pt idx="46">
                  <c:v>1.3686595024988404</c:v>
                </c:pt>
                <c:pt idx="47">
                  <c:v>1.5820813548456081</c:v>
                </c:pt>
                <c:pt idx="48">
                  <c:v>1.6987547293384355</c:v>
                </c:pt>
                <c:pt idx="49">
                  <c:v>1.7523569598701141</c:v>
                </c:pt>
                <c:pt idx="50">
                  <c:v>1.6868142257705581</c:v>
                </c:pt>
                <c:pt idx="51">
                  <c:v>1.6358926127374511</c:v>
                </c:pt>
                <c:pt idx="52">
                  <c:v>1.8073929887433491</c:v>
                </c:pt>
                <c:pt idx="53">
                  <c:v>1.5271504808523328</c:v>
                </c:pt>
                <c:pt idx="54">
                  <c:v>1.5855943989224874</c:v>
                </c:pt>
                <c:pt idx="55">
                  <c:v>1.7206026248548003</c:v>
                </c:pt>
                <c:pt idx="56">
                  <c:v>1.7965309426789513</c:v>
                </c:pt>
                <c:pt idx="57">
                  <c:v>1.7500324680658323</c:v>
                </c:pt>
                <c:pt idx="58">
                  <c:v>1.8656139573475128</c:v>
                </c:pt>
                <c:pt idx="59">
                  <c:v>1.7951170261075289</c:v>
                </c:pt>
                <c:pt idx="60">
                  <c:v>1.7575062348442281</c:v>
                </c:pt>
                <c:pt idx="61">
                  <c:v>1.788423736998795</c:v>
                </c:pt>
                <c:pt idx="62">
                  <c:v>1.7592608498198201</c:v>
                </c:pt>
                <c:pt idx="63">
                  <c:v>1.7329602811079428</c:v>
                </c:pt>
                <c:pt idx="64">
                  <c:v>1.7472290775850561</c:v>
                </c:pt>
                <c:pt idx="65">
                  <c:v>1.8054514379741933</c:v>
                </c:pt>
                <c:pt idx="66">
                  <c:v>1.98110023711936</c:v>
                </c:pt>
                <c:pt idx="67">
                  <c:v>2.0632453179934331</c:v>
                </c:pt>
                <c:pt idx="68">
                  <c:v>2.2905494425474893</c:v>
                </c:pt>
                <c:pt idx="69">
                  <c:v>2.3465238755866396</c:v>
                </c:pt>
                <c:pt idx="70">
                  <c:v>2.4997510540328771</c:v>
                </c:pt>
                <c:pt idx="71">
                  <c:v>2.6337586757820066</c:v>
                </c:pt>
                <c:pt idx="72">
                  <c:v>2.765384274417928</c:v>
                </c:pt>
                <c:pt idx="73">
                  <c:v>2.9258509049464907</c:v>
                </c:pt>
                <c:pt idx="74">
                  <c:v>3.4889578790574189</c:v>
                </c:pt>
                <c:pt idx="75">
                  <c:v>4.1539581698924639</c:v>
                </c:pt>
                <c:pt idx="76">
                  <c:v>5.0059542173636791</c:v>
                </c:pt>
                <c:pt idx="77">
                  <c:v>4.5359640823574088</c:v>
                </c:pt>
                <c:pt idx="78">
                  <c:v>3.8375234542760102</c:v>
                </c:pt>
                <c:pt idx="79">
                  <c:v>3.260904057017743</c:v>
                </c:pt>
                <c:pt idx="80">
                  <c:v>3.0439468288390943</c:v>
                </c:pt>
                <c:pt idx="81">
                  <c:v>3.6047268790651321</c:v>
                </c:pt>
                <c:pt idx="82">
                  <c:v>3.8398163100361882</c:v>
                </c:pt>
                <c:pt idx="83">
                  <c:v>4.045228189521044</c:v>
                </c:pt>
                <c:pt idx="84">
                  <c:v>2.9081859566903403</c:v>
                </c:pt>
                <c:pt idx="85">
                  <c:v>2.8642194342891627</c:v>
                </c:pt>
                <c:pt idx="86">
                  <c:v>3.3492865493677462</c:v>
                </c:pt>
                <c:pt idx="87">
                  <c:v>3.3233642872363873</c:v>
                </c:pt>
                <c:pt idx="88">
                  <c:v>3.270086813121901</c:v>
                </c:pt>
                <c:pt idx="89">
                  <c:v>3.409796728415913</c:v>
                </c:pt>
                <c:pt idx="90">
                  <c:v>3.4677367958108758</c:v>
                </c:pt>
                <c:pt idx="91">
                  <c:v>3.6029449028086162</c:v>
                </c:pt>
                <c:pt idx="92">
                  <c:v>3.5509477875089517</c:v>
                </c:pt>
                <c:pt idx="93">
                  <c:v>3.67626999175963</c:v>
                </c:pt>
                <c:pt idx="94">
                  <c:v>3.800757704341958</c:v>
                </c:pt>
                <c:pt idx="95">
                  <c:v>3.6285765599025743</c:v>
                </c:pt>
                <c:pt idx="96">
                  <c:v>3.6516839983812797</c:v>
                </c:pt>
                <c:pt idx="97">
                  <c:v>3.7954191992180895</c:v>
                </c:pt>
                <c:pt idx="98">
                  <c:v>3.7501125722698263</c:v>
                </c:pt>
                <c:pt idx="99">
                  <c:v>3.5800011538899215</c:v>
                </c:pt>
                <c:pt idx="100">
                  <c:v>3.3814584413531374</c:v>
                </c:pt>
                <c:pt idx="101">
                  <c:v>3.534168728692777</c:v>
                </c:pt>
                <c:pt idx="102">
                  <c:v>3.5907200320488792</c:v>
                </c:pt>
                <c:pt idx="103">
                  <c:v>3.6960512926016404</c:v>
                </c:pt>
                <c:pt idx="104">
                  <c:v>3.767976386233256</c:v>
                </c:pt>
                <c:pt idx="105">
                  <c:v>3.7515889625005383</c:v>
                </c:pt>
                <c:pt idx="106">
                  <c:v>3.574193677197024</c:v>
                </c:pt>
                <c:pt idx="107">
                  <c:v>3.5591855249541156</c:v>
                </c:pt>
                <c:pt idx="108">
                  <c:v>3.5013223178983588</c:v>
                </c:pt>
                <c:pt idx="109">
                  <c:v>3.3738604508051386</c:v>
                </c:pt>
                <c:pt idx="110">
                  <c:v>3.4312537115909256</c:v>
                </c:pt>
                <c:pt idx="111">
                  <c:v>3.281802694345751</c:v>
                </c:pt>
                <c:pt idx="112">
                  <c:v>3.2636311970676029</c:v>
                </c:pt>
                <c:pt idx="113">
                  <c:v>2.9505362870227896</c:v>
                </c:pt>
                <c:pt idx="114">
                  <c:v>2.9519948808030834</c:v>
                </c:pt>
                <c:pt idx="115">
                  <c:v>2.7306732670111913</c:v>
                </c:pt>
                <c:pt idx="116">
                  <c:v>2.7372254222737795</c:v>
                </c:pt>
                <c:pt idx="117">
                  <c:v>2.4519934990822625</c:v>
                </c:pt>
                <c:pt idx="118">
                  <c:v>2.5435686897797565</c:v>
                </c:pt>
                <c:pt idx="119">
                  <c:v>2.4380510267922082</c:v>
                </c:pt>
                <c:pt idx="120">
                  <c:v>2.4381203773864875</c:v>
                </c:pt>
                <c:pt idx="121">
                  <c:v>2.9377593265624808</c:v>
                </c:pt>
                <c:pt idx="122">
                  <c:v>3.2015825761699412</c:v>
                </c:pt>
                <c:pt idx="123">
                  <c:v>3.1001829245297507</c:v>
                </c:pt>
                <c:pt idx="124">
                  <c:v>2.9242089522655705</c:v>
                </c:pt>
                <c:pt idx="125">
                  <c:v>2.963850186225863</c:v>
                </c:pt>
                <c:pt idx="126">
                  <c:v>2.9290570323526608</c:v>
                </c:pt>
                <c:pt idx="127">
                  <c:v>2.8922659573296357</c:v>
                </c:pt>
                <c:pt idx="128">
                  <c:v>2.9222174778707979</c:v>
                </c:pt>
                <c:pt idx="129">
                  <c:v>2.9129289040414506</c:v>
                </c:pt>
                <c:pt idx="130">
                  <c:v>2.8726215091241478</c:v>
                </c:pt>
                <c:pt idx="131">
                  <c:v>3.1186019000881045</c:v>
                </c:pt>
                <c:pt idx="132">
                  <c:v>3.1206867926143906</c:v>
                </c:pt>
                <c:pt idx="133">
                  <c:v>3.1282473216555053</c:v>
                </c:pt>
                <c:pt idx="134">
                  <c:v>2.9454187854209128</c:v>
                </c:pt>
                <c:pt idx="135">
                  <c:v>3.0661573257177133</c:v>
                </c:pt>
                <c:pt idx="136">
                  <c:v>3.1365573537787648</c:v>
                </c:pt>
                <c:pt idx="137">
                  <c:v>3.3575782613518217</c:v>
                </c:pt>
                <c:pt idx="138">
                  <c:v>3.8333283496536974</c:v>
                </c:pt>
                <c:pt idx="139">
                  <c:v>3.9340390903539579</c:v>
                </c:pt>
                <c:pt idx="140">
                  <c:v>3.6862442094979548</c:v>
                </c:pt>
                <c:pt idx="141">
                  <c:v>3.7184584535497502</c:v>
                </c:pt>
                <c:pt idx="142">
                  <c:v>3.878146057562577</c:v>
                </c:pt>
                <c:pt idx="143">
                  <c:v>3.9154633024365677</c:v>
                </c:pt>
                <c:pt idx="144">
                  <c:v>3.8339241724570852</c:v>
                </c:pt>
                <c:pt idx="145">
                  <c:v>3.8935611332519677</c:v>
                </c:pt>
                <c:pt idx="146">
                  <c:v>3.8517111994549129</c:v>
                </c:pt>
                <c:pt idx="147">
                  <c:v>3.917961118972991</c:v>
                </c:pt>
                <c:pt idx="148">
                  <c:v>4.1237118525407324</c:v>
                </c:pt>
                <c:pt idx="149">
                  <c:v>4.20974095435158</c:v>
                </c:pt>
                <c:pt idx="150">
                  <c:v>4.2147701398011455</c:v>
                </c:pt>
                <c:pt idx="151">
                  <c:v>4.5072440904772018</c:v>
                </c:pt>
                <c:pt idx="152">
                  <c:v>4.4038964248686865</c:v>
                </c:pt>
                <c:pt idx="153">
                  <c:v>4.368617878956603</c:v>
                </c:pt>
                <c:pt idx="154">
                  <c:v>4.5975027289301069</c:v>
                </c:pt>
                <c:pt idx="155">
                  <c:v>4.6865876662342272</c:v>
                </c:pt>
                <c:pt idx="156">
                  <c:v>4.2361713466269757</c:v>
                </c:pt>
                <c:pt idx="157">
                  <c:v>4.4022536363283029</c:v>
                </c:pt>
                <c:pt idx="158">
                  <c:v>4.0851625559089513</c:v>
                </c:pt>
                <c:pt idx="159">
                  <c:v>3.6276415643243594</c:v>
                </c:pt>
                <c:pt idx="160">
                  <c:v>3.9441775109707971</c:v>
                </c:pt>
                <c:pt idx="161">
                  <c:v>4.2905088334077517</c:v>
                </c:pt>
                <c:pt idx="162">
                  <c:v>4.2745562872887559</c:v>
                </c:pt>
                <c:pt idx="163">
                  <c:v>4.1651460978032411</c:v>
                </c:pt>
                <c:pt idx="164">
                  <c:v>3.8294862535036236</c:v>
                </c:pt>
                <c:pt idx="165">
                  <c:v>3.7770927581097569</c:v>
                </c:pt>
                <c:pt idx="166">
                  <c:v>4.0944497356808434</c:v>
                </c:pt>
                <c:pt idx="167">
                  <c:v>3.9789919927979036</c:v>
                </c:pt>
                <c:pt idx="168">
                  <c:v>4.2601537950640704</c:v>
                </c:pt>
                <c:pt idx="169">
                  <c:v>4.3465363668920691</c:v>
                </c:pt>
                <c:pt idx="170">
                  <c:v>4.2806698599622468</c:v>
                </c:pt>
                <c:pt idx="171">
                  <c:v>4.1789028487115383</c:v>
                </c:pt>
                <c:pt idx="172">
                  <c:v>4.0571900900615656</c:v>
                </c:pt>
                <c:pt idx="173">
                  <c:v>4.1663451581605413</c:v>
                </c:pt>
                <c:pt idx="174">
                  <c:v>4.2702558627451923</c:v>
                </c:pt>
                <c:pt idx="175">
                  <c:v>4.0238247041627311</c:v>
                </c:pt>
                <c:pt idx="176">
                  <c:v>3.993572664664665</c:v>
                </c:pt>
                <c:pt idx="177">
                  <c:v>3.8975229881642321</c:v>
                </c:pt>
                <c:pt idx="178">
                  <c:v>3.9499597210365298</c:v>
                </c:pt>
                <c:pt idx="179">
                  <c:v>3.8661336300849483</c:v>
                </c:pt>
                <c:pt idx="180">
                  <c:v>3.3398423684331022</c:v>
                </c:pt>
                <c:pt idx="181">
                  <c:v>3.633945423301471</c:v>
                </c:pt>
                <c:pt idx="182">
                  <c:v>3.716546719047221</c:v>
                </c:pt>
                <c:pt idx="183">
                  <c:v>3.7341065396049489</c:v>
                </c:pt>
                <c:pt idx="184">
                  <c:v>3.6824891921046068</c:v>
                </c:pt>
                <c:pt idx="185">
                  <c:v>3.4119960087137065</c:v>
                </c:pt>
                <c:pt idx="186">
                  <c:v>3.4168452104192828</c:v>
                </c:pt>
                <c:pt idx="187">
                  <c:v>3.2620674378549923</c:v>
                </c:pt>
                <c:pt idx="188">
                  <c:v>3.9934682930805145</c:v>
                </c:pt>
                <c:pt idx="189">
                  <c:v>4.2162965086704691</c:v>
                </c:pt>
                <c:pt idx="190">
                  <c:v>4.3159597348042666</c:v>
                </c:pt>
                <c:pt idx="191">
                  <c:v>4.1856778583004326</c:v>
                </c:pt>
                <c:pt idx="192">
                  <c:v>4.0907960068047142</c:v>
                </c:pt>
                <c:pt idx="193">
                  <c:v>4.2760317706419828</c:v>
                </c:pt>
                <c:pt idx="194">
                  <c:v>4.2728144644734014</c:v>
                </c:pt>
                <c:pt idx="195">
                  <c:v>4.1512922783484809</c:v>
                </c:pt>
                <c:pt idx="196">
                  <c:v>4.2943254526209191</c:v>
                </c:pt>
                <c:pt idx="197">
                  <c:v>4.4938943555058932</c:v>
                </c:pt>
                <c:pt idx="198">
                  <c:v>4.6781671446439095</c:v>
                </c:pt>
                <c:pt idx="199">
                  <c:v>5.1321618235831208</c:v>
                </c:pt>
                <c:pt idx="200">
                  <c:v>5.2244488189173097</c:v>
                </c:pt>
                <c:pt idx="201">
                  <c:v>5.2783723307399022</c:v>
                </c:pt>
                <c:pt idx="202">
                  <c:v>5.2267812512807534</c:v>
                </c:pt>
                <c:pt idx="203">
                  <c:v>5.4041252703176879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9-4515-AE39-16C2E62DE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58176"/>
        <c:axId val="-1236752736"/>
      </c:lineChart>
      <c:dateAx>
        <c:axId val="-1236758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2736"/>
        <c:crosses val="autoZero"/>
        <c:auto val="1"/>
        <c:lblOffset val="100"/>
        <c:baseTimeUnit val="months"/>
      </c:dateAx>
      <c:valAx>
        <c:axId val="-123675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nv_stra!$M$1</c:f>
              <c:strCache>
                <c:ptCount val="1"/>
                <c:pt idx="0">
                  <c:v>价值红利策略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nv_stra!$M$16:$M$300</c:f>
              <c:numCache>
                <c:formatCode>General</c:formatCode>
                <c:ptCount val="285"/>
                <c:pt idx="0">
                  <c:v>1</c:v>
                </c:pt>
                <c:pt idx="1">
                  <c:v>1.0809030136184601</c:v>
                </c:pt>
                <c:pt idx="2">
                  <c:v>1.35534529133739</c:v>
                </c:pt>
                <c:pt idx="3">
                  <c:v>1.5148090748285099</c:v>
                </c:pt>
                <c:pt idx="4">
                  <c:v>1.64921140910345</c:v>
                </c:pt>
                <c:pt idx="5">
                  <c:v>1.7943643809705301</c:v>
                </c:pt>
                <c:pt idx="6">
                  <c:v>2.1138860685874299</c:v>
                </c:pt>
                <c:pt idx="7">
                  <c:v>1.8520212568274901</c:v>
                </c:pt>
                <c:pt idx="8">
                  <c:v>2.0412018099089</c:v>
                </c:pt>
                <c:pt idx="9">
                  <c:v>2.2326274259743402</c:v>
                </c:pt>
                <c:pt idx="10">
                  <c:v>2.5629053575166698</c:v>
                </c:pt>
                <c:pt idx="11">
                  <c:v>2.62976416207818</c:v>
                </c:pt>
                <c:pt idx="12">
                  <c:v>2.38997048746538</c:v>
                </c:pt>
                <c:pt idx="13">
                  <c:v>2.5336928909581502</c:v>
                </c:pt>
                <c:pt idx="14">
                  <c:v>2.6399802186413401</c:v>
                </c:pt>
                <c:pt idx="15">
                  <c:v>2.4808719130349002</c:v>
                </c:pt>
                <c:pt idx="16">
                  <c:v>2.4017029936385801</c:v>
                </c:pt>
                <c:pt idx="17">
                  <c:v>2.1519354740028498</c:v>
                </c:pt>
                <c:pt idx="18">
                  <c:v>2.4155016798160598</c:v>
                </c:pt>
                <c:pt idx="19">
                  <c:v>2.5089644558902502</c:v>
                </c:pt>
                <c:pt idx="20">
                  <c:v>2.5552436530155802</c:v>
                </c:pt>
                <c:pt idx="21">
                  <c:v>2.82961985948159</c:v>
                </c:pt>
                <c:pt idx="22">
                  <c:v>2.77539947718321</c:v>
                </c:pt>
                <c:pt idx="23">
                  <c:v>2.6279897638506799</c:v>
                </c:pt>
                <c:pt idx="24">
                  <c:v>2.7191163980814701</c:v>
                </c:pt>
                <c:pt idx="25">
                  <c:v>2.8731372508642301</c:v>
                </c:pt>
                <c:pt idx="26">
                  <c:v>2.8376483549720599</c:v>
                </c:pt>
                <c:pt idx="27">
                  <c:v>2.8405643279279502</c:v>
                </c:pt>
                <c:pt idx="28">
                  <c:v>2.6370507363989999</c:v>
                </c:pt>
                <c:pt idx="29">
                  <c:v>2.7123529368739399</c:v>
                </c:pt>
                <c:pt idx="30">
                  <c:v>2.72751436158654</c:v>
                </c:pt>
                <c:pt idx="31">
                  <c:v>2.5943110216612002</c:v>
                </c:pt>
                <c:pt idx="32">
                  <c:v>2.3563381427318602</c:v>
                </c:pt>
                <c:pt idx="33">
                  <c:v>2.4329945940209101</c:v>
                </c:pt>
                <c:pt idx="34">
                  <c:v>2.2795750647269801</c:v>
                </c:pt>
                <c:pt idx="35">
                  <c:v>2.0261333963586301</c:v>
                </c:pt>
                <c:pt idx="36">
                  <c:v>2.12900963262515</c:v>
                </c:pt>
                <c:pt idx="37">
                  <c:v>2.28580315734771</c:v>
                </c:pt>
                <c:pt idx="38">
                  <c:v>2.0793151947623798</c:v>
                </c:pt>
                <c:pt idx="39">
                  <c:v>2.2666010345944301</c:v>
                </c:pt>
                <c:pt idx="40">
                  <c:v>2.2547703108886998</c:v>
                </c:pt>
                <c:pt idx="41">
                  <c:v>2.0820020401557602</c:v>
                </c:pt>
                <c:pt idx="42">
                  <c:v>1.8931626178646099</c:v>
                </c:pt>
                <c:pt idx="43">
                  <c:v>1.8566687414395999</c:v>
                </c:pt>
                <c:pt idx="44">
                  <c:v>1.9305873109609899</c:v>
                </c:pt>
                <c:pt idx="45">
                  <c:v>1.9294185693842301</c:v>
                </c:pt>
                <c:pt idx="46">
                  <c:v>1.7404077708730901</c:v>
                </c:pt>
                <c:pt idx="47">
                  <c:v>2.0197504813021001</c:v>
                </c:pt>
                <c:pt idx="48">
                  <c:v>2.11036878764188</c:v>
                </c:pt>
                <c:pt idx="49">
                  <c:v>2.2403397216376999</c:v>
                </c:pt>
                <c:pt idx="50">
                  <c:v>2.20444603180901</c:v>
                </c:pt>
                <c:pt idx="51">
                  <c:v>2.1073117690005501</c:v>
                </c:pt>
                <c:pt idx="52">
                  <c:v>2.25902026196021</c:v>
                </c:pt>
                <c:pt idx="53">
                  <c:v>1.8870714584820301</c:v>
                </c:pt>
                <c:pt idx="54">
                  <c:v>1.9008928718729501</c:v>
                </c:pt>
                <c:pt idx="55">
                  <c:v>1.99461063393222</c:v>
                </c:pt>
                <c:pt idx="56">
                  <c:v>2.0462813153061399</c:v>
                </c:pt>
                <c:pt idx="57">
                  <c:v>2.0496380162322501</c:v>
                </c:pt>
                <c:pt idx="58">
                  <c:v>2.0991363677766399</c:v>
                </c:pt>
                <c:pt idx="59">
                  <c:v>1.9813968036109599</c:v>
                </c:pt>
                <c:pt idx="60">
                  <c:v>1.89327583598303</c:v>
                </c:pt>
                <c:pt idx="61">
                  <c:v>1.9810809514828001</c:v>
                </c:pt>
                <c:pt idx="62">
                  <c:v>1.98226592498646</c:v>
                </c:pt>
                <c:pt idx="63">
                  <c:v>1.9266704204282401</c:v>
                </c:pt>
                <c:pt idx="64">
                  <c:v>1.9453945215999</c:v>
                </c:pt>
                <c:pt idx="65">
                  <c:v>1.98959413076503</c:v>
                </c:pt>
                <c:pt idx="66">
                  <c:v>2.2250606667053301</c:v>
                </c:pt>
                <c:pt idx="67">
                  <c:v>2.3005422589225302</c:v>
                </c:pt>
                <c:pt idx="68">
                  <c:v>2.5987103574771702</c:v>
                </c:pt>
                <c:pt idx="69">
                  <c:v>2.7049568701404301</c:v>
                </c:pt>
                <c:pt idx="70">
                  <c:v>2.9811206362343801</c:v>
                </c:pt>
                <c:pt idx="71">
                  <c:v>3.49883355446946</c:v>
                </c:pt>
                <c:pt idx="72">
                  <c:v>3.4569361885293</c:v>
                </c:pt>
                <c:pt idx="73">
                  <c:v>3.5057849955226801</c:v>
                </c:pt>
                <c:pt idx="74">
                  <c:v>4.0719107597495396</c:v>
                </c:pt>
                <c:pt idx="75">
                  <c:v>5.02338633206059</c:v>
                </c:pt>
                <c:pt idx="76">
                  <c:v>5.39091640909737</c:v>
                </c:pt>
                <c:pt idx="77">
                  <c:v>5.4253245931681402</c:v>
                </c:pt>
                <c:pt idx="78">
                  <c:v>4.32088499841685</c:v>
                </c:pt>
                <c:pt idx="79">
                  <c:v>3.99639424826881</c:v>
                </c:pt>
                <c:pt idx="80">
                  <c:v>3.6172953403461801</c:v>
                </c:pt>
                <c:pt idx="81">
                  <c:v>3.9882198991832198</c:v>
                </c:pt>
                <c:pt idx="82">
                  <c:v>3.9773749944644101</c:v>
                </c:pt>
                <c:pt idx="83">
                  <c:v>4.2013956204364202</c:v>
                </c:pt>
                <c:pt idx="84">
                  <c:v>3.0993554454507102</c:v>
                </c:pt>
                <c:pt idx="85">
                  <c:v>3.06348510570156</c:v>
                </c:pt>
                <c:pt idx="86">
                  <c:v>3.48575562928343</c:v>
                </c:pt>
                <c:pt idx="87">
                  <c:v>3.3961043337858099</c:v>
                </c:pt>
                <c:pt idx="88">
                  <c:v>3.31001258144371</c:v>
                </c:pt>
                <c:pt idx="89">
                  <c:v>3.3302937330493698</c:v>
                </c:pt>
                <c:pt idx="90">
                  <c:v>3.4265980469256898</c:v>
                </c:pt>
                <c:pt idx="91">
                  <c:v>3.5815700302426401</c:v>
                </c:pt>
                <c:pt idx="92">
                  <c:v>3.5568809299838402</c:v>
                </c:pt>
                <c:pt idx="93">
                  <c:v>3.7011718794533599</c:v>
                </c:pt>
                <c:pt idx="94">
                  <c:v>3.9055666215918401</c:v>
                </c:pt>
                <c:pt idx="95">
                  <c:v>3.8067054020351798</c:v>
                </c:pt>
                <c:pt idx="96">
                  <c:v>3.9373348061612701</c:v>
                </c:pt>
                <c:pt idx="97">
                  <c:v>4.0636186561246097</c:v>
                </c:pt>
                <c:pt idx="98">
                  <c:v>3.9746320477285</c:v>
                </c:pt>
                <c:pt idx="99">
                  <c:v>3.8267323648317499</c:v>
                </c:pt>
                <c:pt idx="100">
                  <c:v>3.79539988139374</c:v>
                </c:pt>
                <c:pt idx="101">
                  <c:v>3.9186136992468699</c:v>
                </c:pt>
                <c:pt idx="102">
                  <c:v>4.1567230040178096</c:v>
                </c:pt>
                <c:pt idx="103">
                  <c:v>4.2905965925187202</c:v>
                </c:pt>
                <c:pt idx="104">
                  <c:v>4.1526356681400998</c:v>
                </c:pt>
                <c:pt idx="105">
                  <c:v>4.1209820637505503</c:v>
                </c:pt>
                <c:pt idx="106">
                  <c:v>4.1330211896635003</c:v>
                </c:pt>
                <c:pt idx="107">
                  <c:v>4.17736512841556</c:v>
                </c:pt>
                <c:pt idx="108">
                  <c:v>4.3781472576425298</c:v>
                </c:pt>
                <c:pt idx="109">
                  <c:v>4.0722154130166803</c:v>
                </c:pt>
                <c:pt idx="110">
                  <c:v>3.8234907451817701</c:v>
                </c:pt>
                <c:pt idx="111">
                  <c:v>3.7488041463711101</c:v>
                </c:pt>
                <c:pt idx="112">
                  <c:v>3.67912304963665</c:v>
                </c:pt>
                <c:pt idx="113">
                  <c:v>3.5691306293772</c:v>
                </c:pt>
                <c:pt idx="114">
                  <c:v>3.8415801268931302</c:v>
                </c:pt>
                <c:pt idx="115">
                  <c:v>3.6642185896447401</c:v>
                </c:pt>
                <c:pt idx="116">
                  <c:v>3.6216789463075099</c:v>
                </c:pt>
                <c:pt idx="117">
                  <c:v>3.3348469284354398</c:v>
                </c:pt>
                <c:pt idx="118">
                  <c:v>3.3949560468193201</c:v>
                </c:pt>
                <c:pt idx="119">
                  <c:v>3.3452626670438002</c:v>
                </c:pt>
                <c:pt idx="120">
                  <c:v>3.3617761462596798</c:v>
                </c:pt>
                <c:pt idx="121">
                  <c:v>3.8271409949588602</c:v>
                </c:pt>
                <c:pt idx="122">
                  <c:v>3.9940339999398198</c:v>
                </c:pt>
                <c:pt idx="123">
                  <c:v>3.8813938073612602</c:v>
                </c:pt>
                <c:pt idx="124">
                  <c:v>3.6648159248451502</c:v>
                </c:pt>
                <c:pt idx="125">
                  <c:v>3.7137592872929299</c:v>
                </c:pt>
                <c:pt idx="126">
                  <c:v>3.6118307602066899</c:v>
                </c:pt>
                <c:pt idx="127">
                  <c:v>3.4850420511447702</c:v>
                </c:pt>
                <c:pt idx="128">
                  <c:v>3.4942175196017198</c:v>
                </c:pt>
                <c:pt idx="129">
                  <c:v>3.4608613722093402</c:v>
                </c:pt>
                <c:pt idx="130">
                  <c:v>3.4047843377595601</c:v>
                </c:pt>
                <c:pt idx="131">
                  <c:v>3.5922554687852699</c:v>
                </c:pt>
                <c:pt idx="132">
                  <c:v>3.4704742678128202</c:v>
                </c:pt>
                <c:pt idx="133">
                  <c:v>3.1842952513754299</c:v>
                </c:pt>
                <c:pt idx="134">
                  <c:v>2.9757971935815801</c:v>
                </c:pt>
                <c:pt idx="135">
                  <c:v>3.0233147435223202</c:v>
                </c:pt>
                <c:pt idx="136">
                  <c:v>3.0258412053591699</c:v>
                </c:pt>
                <c:pt idx="137">
                  <c:v>3.12426137144926</c:v>
                </c:pt>
                <c:pt idx="138">
                  <c:v>3.3018974760856601</c:v>
                </c:pt>
                <c:pt idx="139">
                  <c:v>3.3938867271692801</c:v>
                </c:pt>
                <c:pt idx="140">
                  <c:v>3.1191594590817902</c:v>
                </c:pt>
                <c:pt idx="141">
                  <c:v>3.0361631508167601</c:v>
                </c:pt>
                <c:pt idx="142">
                  <c:v>3.1685217919200102</c:v>
                </c:pt>
                <c:pt idx="143">
                  <c:v>3.0036701617692501</c:v>
                </c:pt>
                <c:pt idx="144">
                  <c:v>2.8276195955835099</c:v>
                </c:pt>
                <c:pt idx="145">
                  <c:v>2.9506543909433098</c:v>
                </c:pt>
                <c:pt idx="146">
                  <c:v>3.0072871597143802</c:v>
                </c:pt>
                <c:pt idx="147">
                  <c:v>2.97951772943515</c:v>
                </c:pt>
                <c:pt idx="148">
                  <c:v>3.1290548053330398</c:v>
                </c:pt>
                <c:pt idx="149">
                  <c:v>3.1226792894175799</c:v>
                </c:pt>
                <c:pt idx="150">
                  <c:v>2.9199100844093602</c:v>
                </c:pt>
                <c:pt idx="151">
                  <c:v>3.2058225451140698</c:v>
                </c:pt>
                <c:pt idx="152">
                  <c:v>3.5747730304754102</c:v>
                </c:pt>
                <c:pt idx="153">
                  <c:v>3.4393467800560602</c:v>
                </c:pt>
                <c:pt idx="154">
                  <c:v>3.3701443978055301</c:v>
                </c:pt>
                <c:pt idx="155">
                  <c:v>3.5936151583662901</c:v>
                </c:pt>
                <c:pt idx="156">
                  <c:v>3.4496954174166299</c:v>
                </c:pt>
                <c:pt idx="157">
                  <c:v>3.6622621029123001</c:v>
                </c:pt>
                <c:pt idx="158">
                  <c:v>3.6543456432969901</c:v>
                </c:pt>
                <c:pt idx="159">
                  <c:v>3.44736085276551</c:v>
                </c:pt>
                <c:pt idx="160">
                  <c:v>3.5952241499447202</c:v>
                </c:pt>
                <c:pt idx="161">
                  <c:v>3.6147346056737901</c:v>
                </c:pt>
                <c:pt idx="162">
                  <c:v>3.56099191523476</c:v>
                </c:pt>
                <c:pt idx="163">
                  <c:v>3.56289884245852</c:v>
                </c:pt>
                <c:pt idx="164">
                  <c:v>3.29743575007274</c:v>
                </c:pt>
                <c:pt idx="165">
                  <c:v>3.20437767020494</c:v>
                </c:pt>
                <c:pt idx="166">
                  <c:v>3.6826409612428401</c:v>
                </c:pt>
                <c:pt idx="167">
                  <c:v>3.5472743042305201</c:v>
                </c:pt>
                <c:pt idx="168">
                  <c:v>3.8146775675743001</c:v>
                </c:pt>
                <c:pt idx="169">
                  <c:v>3.9566619741223801</c:v>
                </c:pt>
                <c:pt idx="170">
                  <c:v>3.9540015545127898</c:v>
                </c:pt>
                <c:pt idx="171">
                  <c:v>4.1229704656350501</c:v>
                </c:pt>
                <c:pt idx="172">
                  <c:v>3.8845351235977899</c:v>
                </c:pt>
                <c:pt idx="173">
                  <c:v>3.9182231279714999</c:v>
                </c:pt>
                <c:pt idx="174">
                  <c:v>4.1719315965800199</c:v>
                </c:pt>
                <c:pt idx="175">
                  <c:v>4.0718392995874497</c:v>
                </c:pt>
                <c:pt idx="176">
                  <c:v>4.1222578179778999</c:v>
                </c:pt>
                <c:pt idx="177">
                  <c:v>3.9141103892434201</c:v>
                </c:pt>
                <c:pt idx="178">
                  <c:v>3.9635043576452098</c:v>
                </c:pt>
                <c:pt idx="179">
                  <c:v>4.0352315477877401</c:v>
                </c:pt>
                <c:pt idx="180">
                  <c:v>4.08033696179705</c:v>
                </c:pt>
                <c:pt idx="181">
                  <c:v>4.3802708875218599</c:v>
                </c:pt>
                <c:pt idx="182">
                  <c:v>4.4780018492311999</c:v>
                </c:pt>
                <c:pt idx="183">
                  <c:v>4.3787817608395203</c:v>
                </c:pt>
                <c:pt idx="184">
                  <c:v>4.4197035049594602</c:v>
                </c:pt>
                <c:pt idx="185">
                  <c:v>4.2937117556301096</c:v>
                </c:pt>
                <c:pt idx="186">
                  <c:v>4.0611454028290597</c:v>
                </c:pt>
                <c:pt idx="187">
                  <c:v>3.8116405069097001</c:v>
                </c:pt>
                <c:pt idx="188">
                  <c:v>4.5084040559657099</c:v>
                </c:pt>
                <c:pt idx="189">
                  <c:v>4.2479728056512602</c:v>
                </c:pt>
                <c:pt idx="190">
                  <c:v>4.2124062410735004</c:v>
                </c:pt>
                <c:pt idx="191">
                  <c:v>4.3062545851135701</c:v>
                </c:pt>
                <c:pt idx="192">
                  <c:v>4.3249491111664504</c:v>
                </c:pt>
                <c:pt idx="193">
                  <c:v>4.3436233130770603</c:v>
                </c:pt>
                <c:pt idx="194">
                  <c:v>4.4162725376351002</c:v>
                </c:pt>
                <c:pt idx="195">
                  <c:v>4.5727021128878</c:v>
                </c:pt>
                <c:pt idx="196">
                  <c:v>4.8963337142378203</c:v>
                </c:pt>
                <c:pt idx="197">
                  <c:v>5.16668184973883</c:v>
                </c:pt>
                <c:pt idx="198">
                  <c:v>5.3016175931443801</c:v>
                </c:pt>
                <c:pt idx="199">
                  <c:v>6.4334555756304601</c:v>
                </c:pt>
                <c:pt idx="200">
                  <c:v>6.5024432273851396</c:v>
                </c:pt>
                <c:pt idx="201">
                  <c:v>6.2162815912992198</c:v>
                </c:pt>
                <c:pt idx="202">
                  <c:v>6.0512348703247101</c:v>
                </c:pt>
                <c:pt idx="203">
                  <c:v>6.2547019869878602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29-4A25-B87F-3AF344280464}"/>
            </c:ext>
          </c:extLst>
        </c:ser>
        <c:ser>
          <c:idx val="1"/>
          <c:order val="1"/>
          <c:tx>
            <c:strRef>
              <c:f>nv_stra!$O$1</c:f>
              <c:strCache>
                <c:ptCount val="1"/>
                <c:pt idx="0">
                  <c:v>万得全A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nv_stra!$O$16:$O$300</c:f>
              <c:numCache>
                <c:formatCode>General</c:formatCode>
                <c:ptCount val="285"/>
                <c:pt idx="0">
                  <c:v>1</c:v>
                </c:pt>
                <c:pt idx="1">
                  <c:v>1.0719822903291396</c:v>
                </c:pt>
                <c:pt idx="2">
                  <c:v>1.2898282167894253</c:v>
                </c:pt>
                <c:pt idx="3">
                  <c:v>1.3777361611293817</c:v>
                </c:pt>
                <c:pt idx="4">
                  <c:v>1.44079483772383</c:v>
                </c:pt>
                <c:pt idx="5">
                  <c:v>1.5531642776062666</c:v>
                </c:pt>
                <c:pt idx="6">
                  <c:v>1.8073827243308827</c:v>
                </c:pt>
                <c:pt idx="7">
                  <c:v>1.5058545477675949</c:v>
                </c:pt>
                <c:pt idx="8">
                  <c:v>1.5690017523241682</c:v>
                </c:pt>
                <c:pt idx="9">
                  <c:v>1.7435257180700932</c:v>
                </c:pt>
                <c:pt idx="10">
                  <c:v>1.9692096523350262</c:v>
                </c:pt>
                <c:pt idx="11">
                  <c:v>2.004640681785621</c:v>
                </c:pt>
                <c:pt idx="12">
                  <c:v>1.900940947013702</c:v>
                </c:pt>
                <c:pt idx="13">
                  <c:v>2.0004298322614593</c:v>
                </c:pt>
                <c:pt idx="14">
                  <c:v>2.0506795300785687</c:v>
                </c:pt>
                <c:pt idx="15">
                  <c:v>1.912683147667257</c:v>
                </c:pt>
                <c:pt idx="16">
                  <c:v>1.7661742030210625</c:v>
                </c:pt>
                <c:pt idx="17">
                  <c:v>1.5998555262197731</c:v>
                </c:pt>
                <c:pt idx="18">
                  <c:v>1.8313672800206968</c:v>
                </c:pt>
                <c:pt idx="19">
                  <c:v>1.9498883067721315</c:v>
                </c:pt>
                <c:pt idx="20">
                  <c:v>1.9954860404375792</c:v>
                </c:pt>
                <c:pt idx="21">
                  <c:v>2.2229259652856035</c:v>
                </c:pt>
                <c:pt idx="22">
                  <c:v>2.1933163738123653</c:v>
                </c:pt>
                <c:pt idx="23">
                  <c:v>2.1508335304412647</c:v>
                </c:pt>
                <c:pt idx="24">
                  <c:v>2.0643732217375677</c:v>
                </c:pt>
                <c:pt idx="25">
                  <c:v>2.2481293289511646</c:v>
                </c:pt>
                <c:pt idx="26">
                  <c:v>2.2257585554212254</c:v>
                </c:pt>
                <c:pt idx="27">
                  <c:v>2.1765032267059881</c:v>
                </c:pt>
                <c:pt idx="28">
                  <c:v>2.0159308447985311</c:v>
                </c:pt>
                <c:pt idx="29">
                  <c:v>2.0780824731607344</c:v>
                </c:pt>
                <c:pt idx="30">
                  <c:v>2.0950079731236912</c:v>
                </c:pt>
                <c:pt idx="31">
                  <c:v>1.9976984528203674</c:v>
                </c:pt>
                <c:pt idx="32">
                  <c:v>1.7764406935726347</c:v>
                </c:pt>
                <c:pt idx="33">
                  <c:v>1.8492700467152248</c:v>
                </c:pt>
                <c:pt idx="34">
                  <c:v>1.7567215072113627</c:v>
                </c:pt>
                <c:pt idx="35">
                  <c:v>1.5258060090546806</c:v>
                </c:pt>
                <c:pt idx="36">
                  <c:v>1.561238181492153</c:v>
                </c:pt>
                <c:pt idx="37">
                  <c:v>1.725640936713974</c:v>
                </c:pt>
                <c:pt idx="38">
                  <c:v>1.5969926974734332</c:v>
                </c:pt>
                <c:pt idx="39">
                  <c:v>1.7082989751186333</c:v>
                </c:pt>
                <c:pt idx="40">
                  <c:v>1.7270627212032035</c:v>
                </c:pt>
                <c:pt idx="41">
                  <c:v>1.6147395877776267</c:v>
                </c:pt>
                <c:pt idx="42">
                  <c:v>1.4904800284551007</c:v>
                </c:pt>
                <c:pt idx="43">
                  <c:v>1.4769895205276014</c:v>
                </c:pt>
                <c:pt idx="44">
                  <c:v>1.5087923991219496</c:v>
                </c:pt>
                <c:pt idx="45">
                  <c:v>1.5044499849906368</c:v>
                </c:pt>
                <c:pt idx="46">
                  <c:v>1.3686595024988404</c:v>
                </c:pt>
                <c:pt idx="47">
                  <c:v>1.5820813548456081</c:v>
                </c:pt>
                <c:pt idx="48">
                  <c:v>1.6987547293384355</c:v>
                </c:pt>
                <c:pt idx="49">
                  <c:v>1.7523569598701141</c:v>
                </c:pt>
                <c:pt idx="50">
                  <c:v>1.6868142257705581</c:v>
                </c:pt>
                <c:pt idx="51">
                  <c:v>1.6358926127374511</c:v>
                </c:pt>
                <c:pt idx="52">
                  <c:v>1.8073929887433491</c:v>
                </c:pt>
                <c:pt idx="53">
                  <c:v>1.5271504808523328</c:v>
                </c:pt>
                <c:pt idx="54">
                  <c:v>1.5855943989224874</c:v>
                </c:pt>
                <c:pt idx="55">
                  <c:v>1.7206026248548003</c:v>
                </c:pt>
                <c:pt idx="56">
                  <c:v>1.7965309426789513</c:v>
                </c:pt>
                <c:pt idx="57">
                  <c:v>1.7500324680658323</c:v>
                </c:pt>
                <c:pt idx="58">
                  <c:v>1.8656139573475128</c:v>
                </c:pt>
                <c:pt idx="59">
                  <c:v>1.7951170261075289</c:v>
                </c:pt>
                <c:pt idx="60">
                  <c:v>1.7575062348442281</c:v>
                </c:pt>
                <c:pt idx="61">
                  <c:v>1.788423736998795</c:v>
                </c:pt>
                <c:pt idx="62">
                  <c:v>1.7592608498198201</c:v>
                </c:pt>
                <c:pt idx="63">
                  <c:v>1.7329602811079428</c:v>
                </c:pt>
                <c:pt idx="64">
                  <c:v>1.7472290775850561</c:v>
                </c:pt>
                <c:pt idx="65">
                  <c:v>1.8054514379741933</c:v>
                </c:pt>
                <c:pt idx="66">
                  <c:v>1.98110023711936</c:v>
                </c:pt>
                <c:pt idx="67">
                  <c:v>2.0632453179934331</c:v>
                </c:pt>
                <c:pt idx="68">
                  <c:v>2.2905494425474893</c:v>
                </c:pt>
                <c:pt idx="69">
                  <c:v>2.3465238755866396</c:v>
                </c:pt>
                <c:pt idx="70">
                  <c:v>2.4997510540328771</c:v>
                </c:pt>
                <c:pt idx="71">
                  <c:v>2.6337586757820066</c:v>
                </c:pt>
                <c:pt idx="72">
                  <c:v>2.765384274417928</c:v>
                </c:pt>
                <c:pt idx="73">
                  <c:v>2.9258509049464907</c:v>
                </c:pt>
                <c:pt idx="74">
                  <c:v>3.4889578790574189</c:v>
                </c:pt>
                <c:pt idx="75">
                  <c:v>4.1539581698924639</c:v>
                </c:pt>
                <c:pt idx="76">
                  <c:v>5.0059542173636791</c:v>
                </c:pt>
                <c:pt idx="77">
                  <c:v>4.5359640823574088</c:v>
                </c:pt>
                <c:pt idx="78">
                  <c:v>3.8375234542760102</c:v>
                </c:pt>
                <c:pt idx="79">
                  <c:v>3.260904057017743</c:v>
                </c:pt>
                <c:pt idx="80">
                  <c:v>3.0439468288390943</c:v>
                </c:pt>
                <c:pt idx="81">
                  <c:v>3.6047268790651321</c:v>
                </c:pt>
                <c:pt idx="82">
                  <c:v>3.8398163100361882</c:v>
                </c:pt>
                <c:pt idx="83">
                  <c:v>4.045228189521044</c:v>
                </c:pt>
                <c:pt idx="84">
                  <c:v>2.9081859566903403</c:v>
                </c:pt>
                <c:pt idx="85">
                  <c:v>2.8642194342891627</c:v>
                </c:pt>
                <c:pt idx="86">
                  <c:v>3.3492865493677462</c:v>
                </c:pt>
                <c:pt idx="87">
                  <c:v>3.3233642872363873</c:v>
                </c:pt>
                <c:pt idx="88">
                  <c:v>3.270086813121901</c:v>
                </c:pt>
                <c:pt idx="89">
                  <c:v>3.409796728415913</c:v>
                </c:pt>
                <c:pt idx="90">
                  <c:v>3.4677367958108758</c:v>
                </c:pt>
                <c:pt idx="91">
                  <c:v>3.6029449028086162</c:v>
                </c:pt>
                <c:pt idx="92">
                  <c:v>3.5509477875089517</c:v>
                </c:pt>
                <c:pt idx="93">
                  <c:v>3.67626999175963</c:v>
                </c:pt>
                <c:pt idx="94">
                  <c:v>3.800757704341958</c:v>
                </c:pt>
                <c:pt idx="95">
                  <c:v>3.6285765599025743</c:v>
                </c:pt>
                <c:pt idx="96">
                  <c:v>3.6516839983812797</c:v>
                </c:pt>
                <c:pt idx="97">
                  <c:v>3.7954191992180895</c:v>
                </c:pt>
                <c:pt idx="98">
                  <c:v>3.7501125722698263</c:v>
                </c:pt>
                <c:pt idx="99">
                  <c:v>3.5800011538899215</c:v>
                </c:pt>
                <c:pt idx="100">
                  <c:v>3.3814584413531374</c:v>
                </c:pt>
                <c:pt idx="101">
                  <c:v>3.534168728692777</c:v>
                </c:pt>
                <c:pt idx="102">
                  <c:v>3.5907200320488792</c:v>
                </c:pt>
                <c:pt idx="103">
                  <c:v>3.6960512926016404</c:v>
                </c:pt>
                <c:pt idx="104">
                  <c:v>3.767976386233256</c:v>
                </c:pt>
                <c:pt idx="105">
                  <c:v>3.7515889625005383</c:v>
                </c:pt>
                <c:pt idx="106">
                  <c:v>3.574193677197024</c:v>
                </c:pt>
                <c:pt idx="107">
                  <c:v>3.5591855249541156</c:v>
                </c:pt>
                <c:pt idx="108">
                  <c:v>3.5013223178983588</c:v>
                </c:pt>
                <c:pt idx="109">
                  <c:v>3.3738604508051386</c:v>
                </c:pt>
                <c:pt idx="110">
                  <c:v>3.4312537115909256</c:v>
                </c:pt>
                <c:pt idx="111">
                  <c:v>3.281802694345751</c:v>
                </c:pt>
                <c:pt idx="112">
                  <c:v>3.2636311970676029</c:v>
                </c:pt>
                <c:pt idx="113">
                  <c:v>2.9505362870227896</c:v>
                </c:pt>
                <c:pt idx="114">
                  <c:v>2.9519948808030834</c:v>
                </c:pt>
                <c:pt idx="115">
                  <c:v>2.7306732670111913</c:v>
                </c:pt>
                <c:pt idx="116">
                  <c:v>2.7372254222737795</c:v>
                </c:pt>
                <c:pt idx="117">
                  <c:v>2.4519934990822625</c:v>
                </c:pt>
                <c:pt idx="118">
                  <c:v>2.5435686897797565</c:v>
                </c:pt>
                <c:pt idx="119">
                  <c:v>2.4380510267922082</c:v>
                </c:pt>
                <c:pt idx="120">
                  <c:v>2.4381203773864875</c:v>
                </c:pt>
                <c:pt idx="121">
                  <c:v>2.9377593265624808</c:v>
                </c:pt>
                <c:pt idx="122">
                  <c:v>3.2015825761699412</c:v>
                </c:pt>
                <c:pt idx="123">
                  <c:v>3.1001829245297507</c:v>
                </c:pt>
                <c:pt idx="124">
                  <c:v>2.9242089522655705</c:v>
                </c:pt>
                <c:pt idx="125">
                  <c:v>2.963850186225863</c:v>
                </c:pt>
                <c:pt idx="126">
                  <c:v>2.9290570323526608</c:v>
                </c:pt>
                <c:pt idx="127">
                  <c:v>2.8922659573296357</c:v>
                </c:pt>
                <c:pt idx="128">
                  <c:v>2.9222174778707979</c:v>
                </c:pt>
                <c:pt idx="129">
                  <c:v>2.9129289040414506</c:v>
                </c:pt>
                <c:pt idx="130">
                  <c:v>2.8726215091241478</c:v>
                </c:pt>
                <c:pt idx="131">
                  <c:v>3.1186019000881045</c:v>
                </c:pt>
                <c:pt idx="132">
                  <c:v>3.1206867926143906</c:v>
                </c:pt>
                <c:pt idx="133">
                  <c:v>3.1282473216555053</c:v>
                </c:pt>
                <c:pt idx="134">
                  <c:v>2.9454187854209128</c:v>
                </c:pt>
                <c:pt idx="135">
                  <c:v>3.0661573257177133</c:v>
                </c:pt>
                <c:pt idx="136">
                  <c:v>3.1365573537787648</c:v>
                </c:pt>
                <c:pt idx="137">
                  <c:v>3.3575782613518217</c:v>
                </c:pt>
                <c:pt idx="138">
                  <c:v>3.8333283496536974</c:v>
                </c:pt>
                <c:pt idx="139">
                  <c:v>3.9340390903539579</c:v>
                </c:pt>
                <c:pt idx="140">
                  <c:v>3.6862442094979548</c:v>
                </c:pt>
                <c:pt idx="141">
                  <c:v>3.7184584535497502</c:v>
                </c:pt>
                <c:pt idx="142">
                  <c:v>3.878146057562577</c:v>
                </c:pt>
                <c:pt idx="143">
                  <c:v>3.9154633024365677</c:v>
                </c:pt>
                <c:pt idx="144">
                  <c:v>3.8339241724570852</c:v>
                </c:pt>
                <c:pt idx="145">
                  <c:v>3.8935611332519677</c:v>
                </c:pt>
                <c:pt idx="146">
                  <c:v>3.8517111994549129</c:v>
                </c:pt>
                <c:pt idx="147">
                  <c:v>3.917961118972991</c:v>
                </c:pt>
                <c:pt idx="148">
                  <c:v>4.1237118525407324</c:v>
                </c:pt>
                <c:pt idx="149">
                  <c:v>4.20974095435158</c:v>
                </c:pt>
                <c:pt idx="150">
                  <c:v>4.2147701398011455</c:v>
                </c:pt>
                <c:pt idx="151">
                  <c:v>4.5072440904772018</c:v>
                </c:pt>
                <c:pt idx="152">
                  <c:v>4.4038964248686865</c:v>
                </c:pt>
                <c:pt idx="153">
                  <c:v>4.368617878956603</c:v>
                </c:pt>
                <c:pt idx="154">
                  <c:v>4.5975027289301069</c:v>
                </c:pt>
                <c:pt idx="155">
                  <c:v>4.6865876662342272</c:v>
                </c:pt>
                <c:pt idx="156">
                  <c:v>4.2361713466269757</c:v>
                </c:pt>
                <c:pt idx="157">
                  <c:v>4.4022536363283029</c:v>
                </c:pt>
                <c:pt idx="158">
                  <c:v>4.0851625559089513</c:v>
                </c:pt>
                <c:pt idx="159">
                  <c:v>3.6276415643243594</c:v>
                </c:pt>
                <c:pt idx="160">
                  <c:v>3.9441775109707971</c:v>
                </c:pt>
                <c:pt idx="161">
                  <c:v>4.2905088334077517</c:v>
                </c:pt>
                <c:pt idx="162">
                  <c:v>4.2745562872887559</c:v>
                </c:pt>
                <c:pt idx="163">
                  <c:v>4.1651460978032411</c:v>
                </c:pt>
                <c:pt idx="164">
                  <c:v>3.8294862535036236</c:v>
                </c:pt>
                <c:pt idx="165">
                  <c:v>3.7770927581097569</c:v>
                </c:pt>
                <c:pt idx="166">
                  <c:v>4.0944497356808434</c:v>
                </c:pt>
                <c:pt idx="167">
                  <c:v>3.9789919927979036</c:v>
                </c:pt>
                <c:pt idx="168">
                  <c:v>4.2601537950640704</c:v>
                </c:pt>
                <c:pt idx="169">
                  <c:v>4.3465363668920691</c:v>
                </c:pt>
                <c:pt idx="170">
                  <c:v>4.2806698599622468</c:v>
                </c:pt>
                <c:pt idx="171">
                  <c:v>4.1789028487115383</c:v>
                </c:pt>
                <c:pt idx="172">
                  <c:v>4.0571900900615656</c:v>
                </c:pt>
                <c:pt idx="173">
                  <c:v>4.1663451581605413</c:v>
                </c:pt>
                <c:pt idx="174">
                  <c:v>4.2702558627451923</c:v>
                </c:pt>
                <c:pt idx="175">
                  <c:v>4.0238247041627311</c:v>
                </c:pt>
                <c:pt idx="176">
                  <c:v>3.993572664664665</c:v>
                </c:pt>
                <c:pt idx="177">
                  <c:v>3.8975229881642321</c:v>
                </c:pt>
                <c:pt idx="178">
                  <c:v>3.9499597210365298</c:v>
                </c:pt>
                <c:pt idx="179">
                  <c:v>3.8661336300849483</c:v>
                </c:pt>
                <c:pt idx="180">
                  <c:v>3.3398423684331022</c:v>
                </c:pt>
                <c:pt idx="181">
                  <c:v>3.633945423301471</c:v>
                </c:pt>
                <c:pt idx="182">
                  <c:v>3.716546719047221</c:v>
                </c:pt>
                <c:pt idx="183">
                  <c:v>3.7341065396049489</c:v>
                </c:pt>
                <c:pt idx="184">
                  <c:v>3.6824891921046068</c:v>
                </c:pt>
                <c:pt idx="185">
                  <c:v>3.4119960087137065</c:v>
                </c:pt>
                <c:pt idx="186">
                  <c:v>3.4168452104192828</c:v>
                </c:pt>
                <c:pt idx="187">
                  <c:v>3.2620674378549923</c:v>
                </c:pt>
                <c:pt idx="188">
                  <c:v>3.9934682930805145</c:v>
                </c:pt>
                <c:pt idx="189">
                  <c:v>4.2162965086704691</c:v>
                </c:pt>
                <c:pt idx="190">
                  <c:v>4.3159597348042666</c:v>
                </c:pt>
                <c:pt idx="191">
                  <c:v>4.1856778583004326</c:v>
                </c:pt>
                <c:pt idx="192">
                  <c:v>4.0907960068047142</c:v>
                </c:pt>
                <c:pt idx="193">
                  <c:v>4.2760317706419828</c:v>
                </c:pt>
                <c:pt idx="194">
                  <c:v>4.2728144644734014</c:v>
                </c:pt>
                <c:pt idx="195">
                  <c:v>4.1512922783484809</c:v>
                </c:pt>
                <c:pt idx="196">
                  <c:v>4.2943254526209191</c:v>
                </c:pt>
                <c:pt idx="197">
                  <c:v>4.4938943555058932</c:v>
                </c:pt>
                <c:pt idx="198">
                  <c:v>4.6781671446439095</c:v>
                </c:pt>
                <c:pt idx="199">
                  <c:v>5.1321618235831208</c:v>
                </c:pt>
                <c:pt idx="200">
                  <c:v>5.2244488189173097</c:v>
                </c:pt>
                <c:pt idx="201">
                  <c:v>5.2783723307399022</c:v>
                </c:pt>
                <c:pt idx="202">
                  <c:v>5.2267812512807534</c:v>
                </c:pt>
                <c:pt idx="203">
                  <c:v>5.4041252703176879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29-4A25-B87F-3AF344280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81024"/>
        <c:axId val="-1236749472"/>
      </c:lineChart>
      <c:dateAx>
        <c:axId val="-1236781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49472"/>
        <c:crosses val="autoZero"/>
        <c:auto val="1"/>
        <c:lblOffset val="100"/>
        <c:baseTimeUnit val="months"/>
      </c:dateAx>
      <c:valAx>
        <c:axId val="-1236749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8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nv_stra!$N$1</c:f>
              <c:strCache>
                <c:ptCount val="1"/>
                <c:pt idx="0">
                  <c:v>破产价值策略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nv_stra!$N$16:$N$300</c:f>
              <c:numCache>
                <c:formatCode>General</c:formatCode>
                <c:ptCount val="285"/>
                <c:pt idx="0">
                  <c:v>1</c:v>
                </c:pt>
                <c:pt idx="1">
                  <c:v>1.0793328294104101</c:v>
                </c:pt>
                <c:pt idx="2">
                  <c:v>1.3539042346141701</c:v>
                </c:pt>
                <c:pt idx="3">
                  <c:v>1.4576788812811201</c:v>
                </c:pt>
                <c:pt idx="4">
                  <c:v>1.56319518074277</c:v>
                </c:pt>
                <c:pt idx="5">
                  <c:v>1.63107308961507</c:v>
                </c:pt>
                <c:pt idx="6">
                  <c:v>1.8411154659369</c:v>
                </c:pt>
                <c:pt idx="7">
                  <c:v>1.6096130485335101</c:v>
                </c:pt>
                <c:pt idx="8">
                  <c:v>1.6698748231076599</c:v>
                </c:pt>
                <c:pt idx="9">
                  <c:v>1.84539523478136</c:v>
                </c:pt>
                <c:pt idx="10">
                  <c:v>2.1115365617172102</c:v>
                </c:pt>
                <c:pt idx="11">
                  <c:v>2.1566623042405602</c:v>
                </c:pt>
                <c:pt idx="12">
                  <c:v>2.03706401771759</c:v>
                </c:pt>
                <c:pt idx="13">
                  <c:v>2.23642479863654</c:v>
                </c:pt>
                <c:pt idx="14">
                  <c:v>2.33043794094228</c:v>
                </c:pt>
                <c:pt idx="15">
                  <c:v>2.05888747931064</c:v>
                </c:pt>
                <c:pt idx="16">
                  <c:v>1.7740821651379399</c:v>
                </c:pt>
                <c:pt idx="17">
                  <c:v>1.57462058266884</c:v>
                </c:pt>
                <c:pt idx="18">
                  <c:v>1.8382417231788899</c:v>
                </c:pt>
                <c:pt idx="19">
                  <c:v>1.9234850597838899</c:v>
                </c:pt>
                <c:pt idx="20">
                  <c:v>1.9457202348702201</c:v>
                </c:pt>
                <c:pt idx="21">
                  <c:v>2.1246877266490398</c:v>
                </c:pt>
                <c:pt idx="22">
                  <c:v>2.1925347225106799</c:v>
                </c:pt>
                <c:pt idx="23">
                  <c:v>2.1136842076239799</c:v>
                </c:pt>
                <c:pt idx="24">
                  <c:v>2.0257682231745</c:v>
                </c:pt>
                <c:pt idx="25">
                  <c:v>2.2601466549223099</c:v>
                </c:pt>
                <c:pt idx="26">
                  <c:v>2.2541011134744502</c:v>
                </c:pt>
                <c:pt idx="27">
                  <c:v>2.26990443346733</c:v>
                </c:pt>
                <c:pt idx="28">
                  <c:v>2.0792710386114601</c:v>
                </c:pt>
                <c:pt idx="29">
                  <c:v>2.07616326121531</c:v>
                </c:pt>
                <c:pt idx="30">
                  <c:v>2.14474776758501</c:v>
                </c:pt>
                <c:pt idx="31">
                  <c:v>2.06480264962482</c:v>
                </c:pt>
                <c:pt idx="32">
                  <c:v>1.77970663883445</c:v>
                </c:pt>
                <c:pt idx="33">
                  <c:v>1.8559084660488301</c:v>
                </c:pt>
                <c:pt idx="34">
                  <c:v>1.7207372089097299</c:v>
                </c:pt>
                <c:pt idx="35">
                  <c:v>1.4479312069824199</c:v>
                </c:pt>
                <c:pt idx="36">
                  <c:v>1.4757988151858099</c:v>
                </c:pt>
                <c:pt idx="37">
                  <c:v>1.6544125508530401</c:v>
                </c:pt>
                <c:pt idx="38">
                  <c:v>1.50300889857538</c:v>
                </c:pt>
                <c:pt idx="39">
                  <c:v>1.61444294173323</c:v>
                </c:pt>
                <c:pt idx="40">
                  <c:v>1.5781416941914399</c:v>
                </c:pt>
                <c:pt idx="41">
                  <c:v>1.4155978844344701</c:v>
                </c:pt>
                <c:pt idx="42">
                  <c:v>1.33417272695095</c:v>
                </c:pt>
                <c:pt idx="43">
                  <c:v>1.3751726759168399</c:v>
                </c:pt>
                <c:pt idx="44">
                  <c:v>1.3815605418065899</c:v>
                </c:pt>
                <c:pt idx="45">
                  <c:v>1.4503429834757</c:v>
                </c:pt>
                <c:pt idx="46">
                  <c:v>1.28740930171688</c:v>
                </c:pt>
                <c:pt idx="47">
                  <c:v>1.4721581901013101</c:v>
                </c:pt>
                <c:pt idx="48">
                  <c:v>1.5605729771018499</c:v>
                </c:pt>
                <c:pt idx="49">
                  <c:v>1.6227520795756301</c:v>
                </c:pt>
                <c:pt idx="50">
                  <c:v>1.60709615176047</c:v>
                </c:pt>
                <c:pt idx="51">
                  <c:v>1.5516811704244899</c:v>
                </c:pt>
                <c:pt idx="52">
                  <c:v>1.7349734184458001</c:v>
                </c:pt>
                <c:pt idx="53">
                  <c:v>1.4526471247630599</c:v>
                </c:pt>
                <c:pt idx="54">
                  <c:v>1.5185916481650601</c:v>
                </c:pt>
                <c:pt idx="55">
                  <c:v>1.80664086807795</c:v>
                </c:pt>
                <c:pt idx="56">
                  <c:v>1.88184895639838</c:v>
                </c:pt>
                <c:pt idx="57">
                  <c:v>1.8136454063657499</c:v>
                </c:pt>
                <c:pt idx="58">
                  <c:v>1.94363117283659</c:v>
                </c:pt>
                <c:pt idx="59">
                  <c:v>1.9603669928169201</c:v>
                </c:pt>
                <c:pt idx="60">
                  <c:v>1.88691729986797</c:v>
                </c:pt>
                <c:pt idx="61">
                  <c:v>1.9849935516573201</c:v>
                </c:pt>
                <c:pt idx="62">
                  <c:v>1.94071906577026</c:v>
                </c:pt>
                <c:pt idx="63">
                  <c:v>1.9428058416812</c:v>
                </c:pt>
                <c:pt idx="64">
                  <c:v>1.93946426248951</c:v>
                </c:pt>
                <c:pt idx="65">
                  <c:v>2.0483436373096202</c:v>
                </c:pt>
                <c:pt idx="66">
                  <c:v>2.2774915273165601</c:v>
                </c:pt>
                <c:pt idx="67">
                  <c:v>2.4625700358190801</c:v>
                </c:pt>
                <c:pt idx="68">
                  <c:v>2.7522735947041999</c:v>
                </c:pt>
                <c:pt idx="69">
                  <c:v>2.8911803973939199</c:v>
                </c:pt>
                <c:pt idx="70">
                  <c:v>3.0827407287349202</c:v>
                </c:pt>
                <c:pt idx="71">
                  <c:v>2.7949234983141298</c:v>
                </c:pt>
                <c:pt idx="72">
                  <c:v>2.9655614886021899</c:v>
                </c:pt>
                <c:pt idx="73">
                  <c:v>3.1168711676098599</c:v>
                </c:pt>
                <c:pt idx="74">
                  <c:v>3.83952775925236</c:v>
                </c:pt>
                <c:pt idx="75">
                  <c:v>4.46025560860258</c:v>
                </c:pt>
                <c:pt idx="76">
                  <c:v>5.7089369161982502</c:v>
                </c:pt>
                <c:pt idx="77">
                  <c:v>5.4109280366358998</c:v>
                </c:pt>
                <c:pt idx="78">
                  <c:v>4.6834624057721603</c:v>
                </c:pt>
                <c:pt idx="79">
                  <c:v>3.9356582033864802</c:v>
                </c:pt>
                <c:pt idx="80">
                  <c:v>3.6955056331901401</c:v>
                </c:pt>
                <c:pt idx="81">
                  <c:v>4.6071371953965201</c:v>
                </c:pt>
                <c:pt idx="82">
                  <c:v>5.3726714934323399</c:v>
                </c:pt>
                <c:pt idx="83">
                  <c:v>5.7647963787649301</c:v>
                </c:pt>
                <c:pt idx="84">
                  <c:v>3.8729437266172901</c:v>
                </c:pt>
                <c:pt idx="85">
                  <c:v>4.0341107230315298</c:v>
                </c:pt>
                <c:pt idx="86">
                  <c:v>4.7947342146720304</c:v>
                </c:pt>
                <c:pt idx="87">
                  <c:v>4.8414954701760102</c:v>
                </c:pt>
                <c:pt idx="88">
                  <c:v>4.5773484587113602</c:v>
                </c:pt>
                <c:pt idx="89">
                  <c:v>4.87369612186398</c:v>
                </c:pt>
                <c:pt idx="90">
                  <c:v>4.6730948734953497</c:v>
                </c:pt>
                <c:pt idx="91">
                  <c:v>4.9644030774339098</c:v>
                </c:pt>
                <c:pt idx="92">
                  <c:v>4.9874557773123396</c:v>
                </c:pt>
                <c:pt idx="93">
                  <c:v>5.1128855657443602</c:v>
                </c:pt>
                <c:pt idx="94">
                  <c:v>5.1937460625970804</c:v>
                </c:pt>
                <c:pt idx="95">
                  <c:v>5.2141652039752797</c:v>
                </c:pt>
                <c:pt idx="96">
                  <c:v>5.1489286454570404</c:v>
                </c:pt>
                <c:pt idx="97">
                  <c:v>5.2763017085649997</c:v>
                </c:pt>
                <c:pt idx="98">
                  <c:v>5.1123545399224497</c:v>
                </c:pt>
                <c:pt idx="99">
                  <c:v>4.7589032506072302</c:v>
                </c:pt>
                <c:pt idx="100">
                  <c:v>4.4483749613817096</c:v>
                </c:pt>
                <c:pt idx="101">
                  <c:v>4.6060545875225598</c:v>
                </c:pt>
                <c:pt idx="102">
                  <c:v>4.53671407188319</c:v>
                </c:pt>
                <c:pt idx="103">
                  <c:v>4.6747812633789199</c:v>
                </c:pt>
                <c:pt idx="104">
                  <c:v>4.6021291386410299</c:v>
                </c:pt>
                <c:pt idx="105">
                  <c:v>4.5770766573344197</c:v>
                </c:pt>
                <c:pt idx="106">
                  <c:v>4.2308876596869904</c:v>
                </c:pt>
                <c:pt idx="107">
                  <c:v>4.1741634806208401</c:v>
                </c:pt>
                <c:pt idx="108">
                  <c:v>4.0051469419421402</c:v>
                </c:pt>
                <c:pt idx="109">
                  <c:v>3.8440287559693198</c:v>
                </c:pt>
                <c:pt idx="110">
                  <c:v>3.9990328160088402</c:v>
                </c:pt>
                <c:pt idx="111">
                  <c:v>3.8759826261457002</c:v>
                </c:pt>
                <c:pt idx="112">
                  <c:v>3.7649568586451001</c:v>
                </c:pt>
                <c:pt idx="113">
                  <c:v>3.4005150171488499</c:v>
                </c:pt>
                <c:pt idx="114">
                  <c:v>3.35078009030694</c:v>
                </c:pt>
                <c:pt idx="115">
                  <c:v>3.05121979558665</c:v>
                </c:pt>
                <c:pt idx="116">
                  <c:v>3.01962902086342</c:v>
                </c:pt>
                <c:pt idx="117">
                  <c:v>2.7415390555651902</c:v>
                </c:pt>
                <c:pt idx="118">
                  <c:v>2.9373357799622299</c:v>
                </c:pt>
                <c:pt idx="119">
                  <c:v>2.8514146566970702</c:v>
                </c:pt>
                <c:pt idx="120">
                  <c:v>2.8089946638084302</c:v>
                </c:pt>
                <c:pt idx="121">
                  <c:v>3.2965308354745599</c:v>
                </c:pt>
                <c:pt idx="122">
                  <c:v>3.67988053942195</c:v>
                </c:pt>
                <c:pt idx="123">
                  <c:v>3.5719498174534001</c:v>
                </c:pt>
                <c:pt idx="124">
                  <c:v>3.2690637485724601</c:v>
                </c:pt>
                <c:pt idx="125">
                  <c:v>3.2672364782556498</c:v>
                </c:pt>
                <c:pt idx="126">
                  <c:v>3.1326527475202699</c:v>
                </c:pt>
                <c:pt idx="127">
                  <c:v>2.9884145945617302</c:v>
                </c:pt>
                <c:pt idx="128">
                  <c:v>3.0224086069914602</c:v>
                </c:pt>
                <c:pt idx="129">
                  <c:v>2.9183248242173701</c:v>
                </c:pt>
                <c:pt idx="130">
                  <c:v>2.8595447957709101</c:v>
                </c:pt>
                <c:pt idx="131">
                  <c:v>3.0988000589745299</c:v>
                </c:pt>
                <c:pt idx="132">
                  <c:v>3.0317126373999899</c:v>
                </c:pt>
                <c:pt idx="133">
                  <c:v>3.0634047975031198</c:v>
                </c:pt>
                <c:pt idx="134">
                  <c:v>3.0741287786037099</c:v>
                </c:pt>
                <c:pt idx="135">
                  <c:v>2.9636142980563802</c:v>
                </c:pt>
                <c:pt idx="136">
                  <c:v>2.9481226315619198</c:v>
                </c:pt>
                <c:pt idx="137">
                  <c:v>3.02905062856619</c:v>
                </c:pt>
                <c:pt idx="138">
                  <c:v>3.3815395535937798</c:v>
                </c:pt>
                <c:pt idx="139">
                  <c:v>3.44927810193595</c:v>
                </c:pt>
                <c:pt idx="140">
                  <c:v>3.1850999841835002</c:v>
                </c:pt>
                <c:pt idx="141">
                  <c:v>3.3243407817277002</c:v>
                </c:pt>
                <c:pt idx="142">
                  <c:v>3.5744697697379899</c:v>
                </c:pt>
                <c:pt idx="143">
                  <c:v>3.4250674162446701</c:v>
                </c:pt>
                <c:pt idx="144">
                  <c:v>2.9520652820578999</c:v>
                </c:pt>
                <c:pt idx="145">
                  <c:v>3.0040945008098401</c:v>
                </c:pt>
                <c:pt idx="146">
                  <c:v>3.5201089032333899</c:v>
                </c:pt>
                <c:pt idx="147">
                  <c:v>3.3677451761566601</c:v>
                </c:pt>
                <c:pt idx="148">
                  <c:v>3.7345671355941499</c:v>
                </c:pt>
                <c:pt idx="149">
                  <c:v>3.7971214741509001</c:v>
                </c:pt>
                <c:pt idx="150">
                  <c:v>3.61397013296089</c:v>
                </c:pt>
                <c:pt idx="151">
                  <c:v>3.8671780119945498</c:v>
                </c:pt>
                <c:pt idx="152">
                  <c:v>3.98128398064412</c:v>
                </c:pt>
                <c:pt idx="153">
                  <c:v>3.7571407038838101</c:v>
                </c:pt>
                <c:pt idx="154">
                  <c:v>4.2183562565268797</c:v>
                </c:pt>
                <c:pt idx="155">
                  <c:v>4.4774795107361296</c:v>
                </c:pt>
                <c:pt idx="156">
                  <c:v>4.2446203240851101</c:v>
                </c:pt>
                <c:pt idx="157">
                  <c:v>4.3814011346853201</c:v>
                </c:pt>
                <c:pt idx="158">
                  <c:v>4.4567567822284397</c:v>
                </c:pt>
                <c:pt idx="159">
                  <c:v>3.8283750290199801</c:v>
                </c:pt>
                <c:pt idx="160">
                  <c:v>4.1252224030423301</c:v>
                </c:pt>
                <c:pt idx="161">
                  <c:v>4.3804510355870399</c:v>
                </c:pt>
                <c:pt idx="162">
                  <c:v>4.7586022784726003</c:v>
                </c:pt>
                <c:pt idx="163">
                  <c:v>4.9137799276102996</c:v>
                </c:pt>
                <c:pt idx="164">
                  <c:v>4.5375449215956296</c:v>
                </c:pt>
                <c:pt idx="165">
                  <c:v>4.5641183552391604</c:v>
                </c:pt>
                <c:pt idx="166">
                  <c:v>4.9419016689242099</c:v>
                </c:pt>
                <c:pt idx="167">
                  <c:v>4.77571550335984</c:v>
                </c:pt>
                <c:pt idx="168">
                  <c:v>5.13484733760232</c:v>
                </c:pt>
                <c:pt idx="169">
                  <c:v>5.26695557883943</c:v>
                </c:pt>
                <c:pt idx="170">
                  <c:v>4.9902329811368196</c:v>
                </c:pt>
                <c:pt idx="171">
                  <c:v>4.6851856928577797</c:v>
                </c:pt>
                <c:pt idx="172">
                  <c:v>4.6036491896836296</c:v>
                </c:pt>
                <c:pt idx="173">
                  <c:v>4.9069496326998197</c:v>
                </c:pt>
                <c:pt idx="174">
                  <c:v>5.08032845204092</c:v>
                </c:pt>
                <c:pt idx="175">
                  <c:v>4.8471644061273702</c:v>
                </c:pt>
                <c:pt idx="176">
                  <c:v>4.9653859182231601</c:v>
                </c:pt>
                <c:pt idx="177">
                  <c:v>4.9651816296320703</c:v>
                </c:pt>
                <c:pt idx="178">
                  <c:v>5.2490826135470003</c:v>
                </c:pt>
                <c:pt idx="179">
                  <c:v>5.2460818284619597</c:v>
                </c:pt>
                <c:pt idx="180">
                  <c:v>4.3060680678174696</c:v>
                </c:pt>
                <c:pt idx="181">
                  <c:v>4.2493283584493504</c:v>
                </c:pt>
                <c:pt idx="182">
                  <c:v>4.7031247553934996</c:v>
                </c:pt>
                <c:pt idx="183">
                  <c:v>4.6533744481820998</c:v>
                </c:pt>
                <c:pt idx="184">
                  <c:v>4.5172493009886701</c:v>
                </c:pt>
                <c:pt idx="185">
                  <c:v>4.0158166617770403</c:v>
                </c:pt>
                <c:pt idx="186">
                  <c:v>4.1005958931914099</c:v>
                </c:pt>
                <c:pt idx="187">
                  <c:v>4.0602457481412397</c:v>
                </c:pt>
                <c:pt idx="188">
                  <c:v>4.8198480640078003</c:v>
                </c:pt>
                <c:pt idx="189">
                  <c:v>6.9117810257606003</c:v>
                </c:pt>
                <c:pt idx="190">
                  <c:v>7.5375868613895296</c:v>
                </c:pt>
                <c:pt idx="191">
                  <c:v>7.3972835917180797</c:v>
                </c:pt>
                <c:pt idx="192">
                  <c:v>7.2661840498011303</c:v>
                </c:pt>
                <c:pt idx="193">
                  <c:v>7.5587750366650797</c:v>
                </c:pt>
                <c:pt idx="194">
                  <c:v>7.6934870956487096</c:v>
                </c:pt>
                <c:pt idx="195">
                  <c:v>7.6543408411696898</c:v>
                </c:pt>
                <c:pt idx="196">
                  <c:v>8.2790803226428693</c:v>
                </c:pt>
                <c:pt idx="197">
                  <c:v>8.4314015796316308</c:v>
                </c:pt>
                <c:pt idx="198">
                  <c:v>8.6088926281801506</c:v>
                </c:pt>
                <c:pt idx="199">
                  <c:v>9.2062789432371801</c:v>
                </c:pt>
                <c:pt idx="200">
                  <c:v>9.2887764080853099</c:v>
                </c:pt>
                <c:pt idx="201">
                  <c:v>9.7748263257733594</c:v>
                </c:pt>
                <c:pt idx="202">
                  <c:v>10.0368305690931</c:v>
                </c:pt>
                <c:pt idx="203">
                  <c:v>9.9417841091778705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5B4-932C-36F4A0BDA257}"/>
            </c:ext>
          </c:extLst>
        </c:ser>
        <c:ser>
          <c:idx val="1"/>
          <c:order val="1"/>
          <c:tx>
            <c:strRef>
              <c:f>nv_stra!$O$1</c:f>
              <c:strCache>
                <c:ptCount val="1"/>
                <c:pt idx="0">
                  <c:v>万得全A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nv_stra!$A$16:$A$300</c:f>
              <c:numCache>
                <c:formatCode>m/d/yyyy</c:formatCode>
                <c:ptCount val="285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42035</c:v>
                </c:pt>
                <c:pt idx="73">
                  <c:v>42063</c:v>
                </c:pt>
                <c:pt idx="74">
                  <c:v>42094</c:v>
                </c:pt>
                <c:pt idx="75">
                  <c:v>42124</c:v>
                </c:pt>
                <c:pt idx="76">
                  <c:v>42155</c:v>
                </c:pt>
                <c:pt idx="77">
                  <c:v>42185</c:v>
                </c:pt>
                <c:pt idx="78">
                  <c:v>42216</c:v>
                </c:pt>
                <c:pt idx="79">
                  <c:v>42247</c:v>
                </c:pt>
                <c:pt idx="80">
                  <c:v>42277</c:v>
                </c:pt>
                <c:pt idx="81">
                  <c:v>42308</c:v>
                </c:pt>
                <c:pt idx="82">
                  <c:v>42338</c:v>
                </c:pt>
                <c:pt idx="83">
                  <c:v>42369</c:v>
                </c:pt>
                <c:pt idx="84">
                  <c:v>42400</c:v>
                </c:pt>
                <c:pt idx="85">
                  <c:v>42429</c:v>
                </c:pt>
                <c:pt idx="86">
                  <c:v>42460</c:v>
                </c:pt>
                <c:pt idx="87">
                  <c:v>42490</c:v>
                </c:pt>
                <c:pt idx="88">
                  <c:v>42521</c:v>
                </c:pt>
                <c:pt idx="89">
                  <c:v>42551</c:v>
                </c:pt>
                <c:pt idx="90">
                  <c:v>42582</c:v>
                </c:pt>
                <c:pt idx="91">
                  <c:v>42613</c:v>
                </c:pt>
                <c:pt idx="92">
                  <c:v>42643</c:v>
                </c:pt>
                <c:pt idx="93">
                  <c:v>42674</c:v>
                </c:pt>
                <c:pt idx="94">
                  <c:v>42704</c:v>
                </c:pt>
                <c:pt idx="95">
                  <c:v>42735</c:v>
                </c:pt>
                <c:pt idx="96">
                  <c:v>42766</c:v>
                </c:pt>
                <c:pt idx="97">
                  <c:v>42794</c:v>
                </c:pt>
                <c:pt idx="98">
                  <c:v>42825</c:v>
                </c:pt>
                <c:pt idx="99">
                  <c:v>42855</c:v>
                </c:pt>
                <c:pt idx="100">
                  <c:v>42886</c:v>
                </c:pt>
                <c:pt idx="101">
                  <c:v>42916</c:v>
                </c:pt>
                <c:pt idx="102">
                  <c:v>42947</c:v>
                </c:pt>
                <c:pt idx="103">
                  <c:v>42978</c:v>
                </c:pt>
                <c:pt idx="104">
                  <c:v>43008</c:v>
                </c:pt>
                <c:pt idx="105">
                  <c:v>43039</c:v>
                </c:pt>
                <c:pt idx="106">
                  <c:v>43069</c:v>
                </c:pt>
                <c:pt idx="107">
                  <c:v>43100</c:v>
                </c:pt>
                <c:pt idx="108">
                  <c:v>43131</c:v>
                </c:pt>
                <c:pt idx="109">
                  <c:v>43159</c:v>
                </c:pt>
                <c:pt idx="110">
                  <c:v>43190</c:v>
                </c:pt>
                <c:pt idx="111">
                  <c:v>43220</c:v>
                </c:pt>
                <c:pt idx="112">
                  <c:v>43251</c:v>
                </c:pt>
                <c:pt idx="113">
                  <c:v>43281</c:v>
                </c:pt>
                <c:pt idx="114">
                  <c:v>43312</c:v>
                </c:pt>
                <c:pt idx="115">
                  <c:v>43343</c:v>
                </c:pt>
                <c:pt idx="116">
                  <c:v>43373</c:v>
                </c:pt>
                <c:pt idx="117">
                  <c:v>43404</c:v>
                </c:pt>
                <c:pt idx="118">
                  <c:v>43434</c:v>
                </c:pt>
                <c:pt idx="119">
                  <c:v>43465</c:v>
                </c:pt>
                <c:pt idx="120">
                  <c:v>43496</c:v>
                </c:pt>
                <c:pt idx="121">
                  <c:v>43524</c:v>
                </c:pt>
                <c:pt idx="122">
                  <c:v>43555</c:v>
                </c:pt>
                <c:pt idx="123">
                  <c:v>43585</c:v>
                </c:pt>
                <c:pt idx="124">
                  <c:v>43616</c:v>
                </c:pt>
                <c:pt idx="125">
                  <c:v>43646</c:v>
                </c:pt>
                <c:pt idx="126">
                  <c:v>43677</c:v>
                </c:pt>
                <c:pt idx="127">
                  <c:v>43708</c:v>
                </c:pt>
                <c:pt idx="128">
                  <c:v>43738</c:v>
                </c:pt>
                <c:pt idx="129">
                  <c:v>43769</c:v>
                </c:pt>
                <c:pt idx="130">
                  <c:v>43799</c:v>
                </c:pt>
                <c:pt idx="131">
                  <c:v>43830</c:v>
                </c:pt>
                <c:pt idx="132">
                  <c:v>43861</c:v>
                </c:pt>
                <c:pt idx="133">
                  <c:v>43890</c:v>
                </c:pt>
                <c:pt idx="134">
                  <c:v>43921</c:v>
                </c:pt>
                <c:pt idx="135">
                  <c:v>43951</c:v>
                </c:pt>
                <c:pt idx="136">
                  <c:v>43982</c:v>
                </c:pt>
                <c:pt idx="137">
                  <c:v>44012</c:v>
                </c:pt>
                <c:pt idx="138">
                  <c:v>44043</c:v>
                </c:pt>
                <c:pt idx="139">
                  <c:v>44074</c:v>
                </c:pt>
                <c:pt idx="140">
                  <c:v>44104</c:v>
                </c:pt>
                <c:pt idx="141">
                  <c:v>44135</c:v>
                </c:pt>
                <c:pt idx="142">
                  <c:v>44165</c:v>
                </c:pt>
                <c:pt idx="143">
                  <c:v>44196</c:v>
                </c:pt>
                <c:pt idx="144">
                  <c:v>44227</c:v>
                </c:pt>
                <c:pt idx="145">
                  <c:v>44255</c:v>
                </c:pt>
                <c:pt idx="146">
                  <c:v>44286</c:v>
                </c:pt>
                <c:pt idx="147">
                  <c:v>44316</c:v>
                </c:pt>
                <c:pt idx="148">
                  <c:v>44347</c:v>
                </c:pt>
                <c:pt idx="149">
                  <c:v>44377</c:v>
                </c:pt>
                <c:pt idx="150">
                  <c:v>44408</c:v>
                </c:pt>
                <c:pt idx="151">
                  <c:v>44439</c:v>
                </c:pt>
                <c:pt idx="152">
                  <c:v>44469</c:v>
                </c:pt>
                <c:pt idx="153">
                  <c:v>44500</c:v>
                </c:pt>
                <c:pt idx="154">
                  <c:v>44530</c:v>
                </c:pt>
                <c:pt idx="155">
                  <c:v>44561</c:v>
                </c:pt>
                <c:pt idx="156">
                  <c:v>44592</c:v>
                </c:pt>
                <c:pt idx="157">
                  <c:v>44620</c:v>
                </c:pt>
                <c:pt idx="158">
                  <c:v>44651</c:v>
                </c:pt>
                <c:pt idx="159">
                  <c:v>44681</c:v>
                </c:pt>
                <c:pt idx="160">
                  <c:v>44712</c:v>
                </c:pt>
                <c:pt idx="161">
                  <c:v>44742</c:v>
                </c:pt>
                <c:pt idx="162">
                  <c:v>44773</c:v>
                </c:pt>
                <c:pt idx="163">
                  <c:v>44804</c:v>
                </c:pt>
                <c:pt idx="164">
                  <c:v>44834</c:v>
                </c:pt>
                <c:pt idx="165">
                  <c:v>44865</c:v>
                </c:pt>
                <c:pt idx="166">
                  <c:v>44895</c:v>
                </c:pt>
                <c:pt idx="167">
                  <c:v>44926</c:v>
                </c:pt>
                <c:pt idx="168">
                  <c:v>44957</c:v>
                </c:pt>
                <c:pt idx="169">
                  <c:v>44985</c:v>
                </c:pt>
                <c:pt idx="170">
                  <c:v>45016</c:v>
                </c:pt>
                <c:pt idx="171">
                  <c:v>45046</c:v>
                </c:pt>
                <c:pt idx="172">
                  <c:v>45077</c:v>
                </c:pt>
                <c:pt idx="173">
                  <c:v>45107</c:v>
                </c:pt>
                <c:pt idx="174">
                  <c:v>45138</c:v>
                </c:pt>
                <c:pt idx="175">
                  <c:v>45169</c:v>
                </c:pt>
                <c:pt idx="176">
                  <c:v>45199</c:v>
                </c:pt>
                <c:pt idx="177">
                  <c:v>45230</c:v>
                </c:pt>
                <c:pt idx="178">
                  <c:v>45260</c:v>
                </c:pt>
                <c:pt idx="179">
                  <c:v>45291</c:v>
                </c:pt>
                <c:pt idx="180">
                  <c:v>45322</c:v>
                </c:pt>
                <c:pt idx="181">
                  <c:v>45351</c:v>
                </c:pt>
                <c:pt idx="182">
                  <c:v>45382</c:v>
                </c:pt>
                <c:pt idx="183">
                  <c:v>45412</c:v>
                </c:pt>
                <c:pt idx="184">
                  <c:v>45443</c:v>
                </c:pt>
                <c:pt idx="185">
                  <c:v>45473</c:v>
                </c:pt>
                <c:pt idx="186">
                  <c:v>45504</c:v>
                </c:pt>
                <c:pt idx="187">
                  <c:v>45535</c:v>
                </c:pt>
                <c:pt idx="188">
                  <c:v>45565</c:v>
                </c:pt>
                <c:pt idx="189">
                  <c:v>45596</c:v>
                </c:pt>
                <c:pt idx="190">
                  <c:v>45626</c:v>
                </c:pt>
                <c:pt idx="191">
                  <c:v>45657</c:v>
                </c:pt>
                <c:pt idx="192">
                  <c:v>45688</c:v>
                </c:pt>
                <c:pt idx="193">
                  <c:v>45716</c:v>
                </c:pt>
                <c:pt idx="194">
                  <c:v>45747</c:v>
                </c:pt>
                <c:pt idx="195">
                  <c:v>45777</c:v>
                </c:pt>
                <c:pt idx="196">
                  <c:v>45808</c:v>
                </c:pt>
                <c:pt idx="197">
                  <c:v>45838</c:v>
                </c:pt>
                <c:pt idx="198">
                  <c:v>45869</c:v>
                </c:pt>
                <c:pt idx="199">
                  <c:v>45900</c:v>
                </c:pt>
                <c:pt idx="200">
                  <c:v>45930</c:v>
                </c:pt>
                <c:pt idx="201">
                  <c:v>45961</c:v>
                </c:pt>
                <c:pt idx="202">
                  <c:v>45991</c:v>
                </c:pt>
                <c:pt idx="203">
                  <c:v>46022</c:v>
                </c:pt>
              </c:numCache>
            </c:numRef>
          </c:cat>
          <c:val>
            <c:numRef>
              <c:f>nv_stra!$O$16:$O$300</c:f>
              <c:numCache>
                <c:formatCode>General</c:formatCode>
                <c:ptCount val="285"/>
                <c:pt idx="0">
                  <c:v>1</c:v>
                </c:pt>
                <c:pt idx="1">
                  <c:v>1.0719822903291396</c:v>
                </c:pt>
                <c:pt idx="2">
                  <c:v>1.2898282167894253</c:v>
                </c:pt>
                <c:pt idx="3">
                  <c:v>1.3777361611293817</c:v>
                </c:pt>
                <c:pt idx="4">
                  <c:v>1.44079483772383</c:v>
                </c:pt>
                <c:pt idx="5">
                  <c:v>1.5531642776062666</c:v>
                </c:pt>
                <c:pt idx="6">
                  <c:v>1.8073827243308827</c:v>
                </c:pt>
                <c:pt idx="7">
                  <c:v>1.5058545477675949</c:v>
                </c:pt>
                <c:pt idx="8">
                  <c:v>1.5690017523241682</c:v>
                </c:pt>
                <c:pt idx="9">
                  <c:v>1.7435257180700932</c:v>
                </c:pt>
                <c:pt idx="10">
                  <c:v>1.9692096523350262</c:v>
                </c:pt>
                <c:pt idx="11">
                  <c:v>2.004640681785621</c:v>
                </c:pt>
                <c:pt idx="12">
                  <c:v>1.900940947013702</c:v>
                </c:pt>
                <c:pt idx="13">
                  <c:v>2.0004298322614593</c:v>
                </c:pt>
                <c:pt idx="14">
                  <c:v>2.0506795300785687</c:v>
                </c:pt>
                <c:pt idx="15">
                  <c:v>1.912683147667257</c:v>
                </c:pt>
                <c:pt idx="16">
                  <c:v>1.7661742030210625</c:v>
                </c:pt>
                <c:pt idx="17">
                  <c:v>1.5998555262197731</c:v>
                </c:pt>
                <c:pt idx="18">
                  <c:v>1.8313672800206968</c:v>
                </c:pt>
                <c:pt idx="19">
                  <c:v>1.9498883067721315</c:v>
                </c:pt>
                <c:pt idx="20">
                  <c:v>1.9954860404375792</c:v>
                </c:pt>
                <c:pt idx="21">
                  <c:v>2.2229259652856035</c:v>
                </c:pt>
                <c:pt idx="22">
                  <c:v>2.1933163738123653</c:v>
                </c:pt>
                <c:pt idx="23">
                  <c:v>2.1508335304412647</c:v>
                </c:pt>
                <c:pt idx="24">
                  <c:v>2.0643732217375677</c:v>
                </c:pt>
                <c:pt idx="25">
                  <c:v>2.2481293289511646</c:v>
                </c:pt>
                <c:pt idx="26">
                  <c:v>2.2257585554212254</c:v>
                </c:pt>
                <c:pt idx="27">
                  <c:v>2.1765032267059881</c:v>
                </c:pt>
                <c:pt idx="28">
                  <c:v>2.0159308447985311</c:v>
                </c:pt>
                <c:pt idx="29">
                  <c:v>2.0780824731607344</c:v>
                </c:pt>
                <c:pt idx="30">
                  <c:v>2.0950079731236912</c:v>
                </c:pt>
                <c:pt idx="31">
                  <c:v>1.9976984528203674</c:v>
                </c:pt>
                <c:pt idx="32">
                  <c:v>1.7764406935726347</c:v>
                </c:pt>
                <c:pt idx="33">
                  <c:v>1.8492700467152248</c:v>
                </c:pt>
                <c:pt idx="34">
                  <c:v>1.7567215072113627</c:v>
                </c:pt>
                <c:pt idx="35">
                  <c:v>1.5258060090546806</c:v>
                </c:pt>
                <c:pt idx="36">
                  <c:v>1.561238181492153</c:v>
                </c:pt>
                <c:pt idx="37">
                  <c:v>1.725640936713974</c:v>
                </c:pt>
                <c:pt idx="38">
                  <c:v>1.5969926974734332</c:v>
                </c:pt>
                <c:pt idx="39">
                  <c:v>1.7082989751186333</c:v>
                </c:pt>
                <c:pt idx="40">
                  <c:v>1.7270627212032035</c:v>
                </c:pt>
                <c:pt idx="41">
                  <c:v>1.6147395877776267</c:v>
                </c:pt>
                <c:pt idx="42">
                  <c:v>1.4904800284551007</c:v>
                </c:pt>
                <c:pt idx="43">
                  <c:v>1.4769895205276014</c:v>
                </c:pt>
                <c:pt idx="44">
                  <c:v>1.5087923991219496</c:v>
                </c:pt>
                <c:pt idx="45">
                  <c:v>1.5044499849906368</c:v>
                </c:pt>
                <c:pt idx="46">
                  <c:v>1.3686595024988404</c:v>
                </c:pt>
                <c:pt idx="47">
                  <c:v>1.5820813548456081</c:v>
                </c:pt>
                <c:pt idx="48">
                  <c:v>1.6987547293384355</c:v>
                </c:pt>
                <c:pt idx="49">
                  <c:v>1.7523569598701141</c:v>
                </c:pt>
                <c:pt idx="50">
                  <c:v>1.6868142257705581</c:v>
                </c:pt>
                <c:pt idx="51">
                  <c:v>1.6358926127374511</c:v>
                </c:pt>
                <c:pt idx="52">
                  <c:v>1.8073929887433491</c:v>
                </c:pt>
                <c:pt idx="53">
                  <c:v>1.5271504808523328</c:v>
                </c:pt>
                <c:pt idx="54">
                  <c:v>1.5855943989224874</c:v>
                </c:pt>
                <c:pt idx="55">
                  <c:v>1.7206026248548003</c:v>
                </c:pt>
                <c:pt idx="56">
                  <c:v>1.7965309426789513</c:v>
                </c:pt>
                <c:pt idx="57">
                  <c:v>1.7500324680658323</c:v>
                </c:pt>
                <c:pt idx="58">
                  <c:v>1.8656139573475128</c:v>
                </c:pt>
                <c:pt idx="59">
                  <c:v>1.7951170261075289</c:v>
                </c:pt>
                <c:pt idx="60">
                  <c:v>1.7575062348442281</c:v>
                </c:pt>
                <c:pt idx="61">
                  <c:v>1.788423736998795</c:v>
                </c:pt>
                <c:pt idx="62">
                  <c:v>1.7592608498198201</c:v>
                </c:pt>
                <c:pt idx="63">
                  <c:v>1.7329602811079428</c:v>
                </c:pt>
                <c:pt idx="64">
                  <c:v>1.7472290775850561</c:v>
                </c:pt>
                <c:pt idx="65">
                  <c:v>1.8054514379741933</c:v>
                </c:pt>
                <c:pt idx="66">
                  <c:v>1.98110023711936</c:v>
                </c:pt>
                <c:pt idx="67">
                  <c:v>2.0632453179934331</c:v>
                </c:pt>
                <c:pt idx="68">
                  <c:v>2.2905494425474893</c:v>
                </c:pt>
                <c:pt idx="69">
                  <c:v>2.3465238755866396</c:v>
                </c:pt>
                <c:pt idx="70">
                  <c:v>2.4997510540328771</c:v>
                </c:pt>
                <c:pt idx="71">
                  <c:v>2.6337586757820066</c:v>
                </c:pt>
                <c:pt idx="72">
                  <c:v>2.765384274417928</c:v>
                </c:pt>
                <c:pt idx="73">
                  <c:v>2.9258509049464907</c:v>
                </c:pt>
                <c:pt idx="74">
                  <c:v>3.4889578790574189</c:v>
                </c:pt>
                <c:pt idx="75">
                  <c:v>4.1539581698924639</c:v>
                </c:pt>
                <c:pt idx="76">
                  <c:v>5.0059542173636791</c:v>
                </c:pt>
                <c:pt idx="77">
                  <c:v>4.5359640823574088</c:v>
                </c:pt>
                <c:pt idx="78">
                  <c:v>3.8375234542760102</c:v>
                </c:pt>
                <c:pt idx="79">
                  <c:v>3.260904057017743</c:v>
                </c:pt>
                <c:pt idx="80">
                  <c:v>3.0439468288390943</c:v>
                </c:pt>
                <c:pt idx="81">
                  <c:v>3.6047268790651321</c:v>
                </c:pt>
                <c:pt idx="82">
                  <c:v>3.8398163100361882</c:v>
                </c:pt>
                <c:pt idx="83">
                  <c:v>4.045228189521044</c:v>
                </c:pt>
                <c:pt idx="84">
                  <c:v>2.9081859566903403</c:v>
                </c:pt>
                <c:pt idx="85">
                  <c:v>2.8642194342891627</c:v>
                </c:pt>
                <c:pt idx="86">
                  <c:v>3.3492865493677462</c:v>
                </c:pt>
                <c:pt idx="87">
                  <c:v>3.3233642872363873</c:v>
                </c:pt>
                <c:pt idx="88">
                  <c:v>3.270086813121901</c:v>
                </c:pt>
                <c:pt idx="89">
                  <c:v>3.409796728415913</c:v>
                </c:pt>
                <c:pt idx="90">
                  <c:v>3.4677367958108758</c:v>
                </c:pt>
                <c:pt idx="91">
                  <c:v>3.6029449028086162</c:v>
                </c:pt>
                <c:pt idx="92">
                  <c:v>3.5509477875089517</c:v>
                </c:pt>
                <c:pt idx="93">
                  <c:v>3.67626999175963</c:v>
                </c:pt>
                <c:pt idx="94">
                  <c:v>3.800757704341958</c:v>
                </c:pt>
                <c:pt idx="95">
                  <c:v>3.6285765599025743</c:v>
                </c:pt>
                <c:pt idx="96">
                  <c:v>3.6516839983812797</c:v>
                </c:pt>
                <c:pt idx="97">
                  <c:v>3.7954191992180895</c:v>
                </c:pt>
                <c:pt idx="98">
                  <c:v>3.7501125722698263</c:v>
                </c:pt>
                <c:pt idx="99">
                  <c:v>3.5800011538899215</c:v>
                </c:pt>
                <c:pt idx="100">
                  <c:v>3.3814584413531374</c:v>
                </c:pt>
                <c:pt idx="101">
                  <c:v>3.534168728692777</c:v>
                </c:pt>
                <c:pt idx="102">
                  <c:v>3.5907200320488792</c:v>
                </c:pt>
                <c:pt idx="103">
                  <c:v>3.6960512926016404</c:v>
                </c:pt>
                <c:pt idx="104">
                  <c:v>3.767976386233256</c:v>
                </c:pt>
                <c:pt idx="105">
                  <c:v>3.7515889625005383</c:v>
                </c:pt>
                <c:pt idx="106">
                  <c:v>3.574193677197024</c:v>
                </c:pt>
                <c:pt idx="107">
                  <c:v>3.5591855249541156</c:v>
                </c:pt>
                <c:pt idx="108">
                  <c:v>3.5013223178983588</c:v>
                </c:pt>
                <c:pt idx="109">
                  <c:v>3.3738604508051386</c:v>
                </c:pt>
                <c:pt idx="110">
                  <c:v>3.4312537115909256</c:v>
                </c:pt>
                <c:pt idx="111">
                  <c:v>3.281802694345751</c:v>
                </c:pt>
                <c:pt idx="112">
                  <c:v>3.2636311970676029</c:v>
                </c:pt>
                <c:pt idx="113">
                  <c:v>2.9505362870227896</c:v>
                </c:pt>
                <c:pt idx="114">
                  <c:v>2.9519948808030834</c:v>
                </c:pt>
                <c:pt idx="115">
                  <c:v>2.7306732670111913</c:v>
                </c:pt>
                <c:pt idx="116">
                  <c:v>2.7372254222737795</c:v>
                </c:pt>
                <c:pt idx="117">
                  <c:v>2.4519934990822625</c:v>
                </c:pt>
                <c:pt idx="118">
                  <c:v>2.5435686897797565</c:v>
                </c:pt>
                <c:pt idx="119">
                  <c:v>2.4380510267922082</c:v>
                </c:pt>
                <c:pt idx="120">
                  <c:v>2.4381203773864875</c:v>
                </c:pt>
                <c:pt idx="121">
                  <c:v>2.9377593265624808</c:v>
                </c:pt>
                <c:pt idx="122">
                  <c:v>3.2015825761699412</c:v>
                </c:pt>
                <c:pt idx="123">
                  <c:v>3.1001829245297507</c:v>
                </c:pt>
                <c:pt idx="124">
                  <c:v>2.9242089522655705</c:v>
                </c:pt>
                <c:pt idx="125">
                  <c:v>2.963850186225863</c:v>
                </c:pt>
                <c:pt idx="126">
                  <c:v>2.9290570323526608</c:v>
                </c:pt>
                <c:pt idx="127">
                  <c:v>2.8922659573296357</c:v>
                </c:pt>
                <c:pt idx="128">
                  <c:v>2.9222174778707979</c:v>
                </c:pt>
                <c:pt idx="129">
                  <c:v>2.9129289040414506</c:v>
                </c:pt>
                <c:pt idx="130">
                  <c:v>2.8726215091241478</c:v>
                </c:pt>
                <c:pt idx="131">
                  <c:v>3.1186019000881045</c:v>
                </c:pt>
                <c:pt idx="132">
                  <c:v>3.1206867926143906</c:v>
                </c:pt>
                <c:pt idx="133">
                  <c:v>3.1282473216555053</c:v>
                </c:pt>
                <c:pt idx="134">
                  <c:v>2.9454187854209128</c:v>
                </c:pt>
                <c:pt idx="135">
                  <c:v>3.0661573257177133</c:v>
                </c:pt>
                <c:pt idx="136">
                  <c:v>3.1365573537787648</c:v>
                </c:pt>
                <c:pt idx="137">
                  <c:v>3.3575782613518217</c:v>
                </c:pt>
                <c:pt idx="138">
                  <c:v>3.8333283496536974</c:v>
                </c:pt>
                <c:pt idx="139">
                  <c:v>3.9340390903539579</c:v>
                </c:pt>
                <c:pt idx="140">
                  <c:v>3.6862442094979548</c:v>
                </c:pt>
                <c:pt idx="141">
                  <c:v>3.7184584535497502</c:v>
                </c:pt>
                <c:pt idx="142">
                  <c:v>3.878146057562577</c:v>
                </c:pt>
                <c:pt idx="143">
                  <c:v>3.9154633024365677</c:v>
                </c:pt>
                <c:pt idx="144">
                  <c:v>3.8339241724570852</c:v>
                </c:pt>
                <c:pt idx="145">
                  <c:v>3.8935611332519677</c:v>
                </c:pt>
                <c:pt idx="146">
                  <c:v>3.8517111994549129</c:v>
                </c:pt>
                <c:pt idx="147">
                  <c:v>3.917961118972991</c:v>
                </c:pt>
                <c:pt idx="148">
                  <c:v>4.1237118525407324</c:v>
                </c:pt>
                <c:pt idx="149">
                  <c:v>4.20974095435158</c:v>
                </c:pt>
                <c:pt idx="150">
                  <c:v>4.2147701398011455</c:v>
                </c:pt>
                <c:pt idx="151">
                  <c:v>4.5072440904772018</c:v>
                </c:pt>
                <c:pt idx="152">
                  <c:v>4.4038964248686865</c:v>
                </c:pt>
                <c:pt idx="153">
                  <c:v>4.368617878956603</c:v>
                </c:pt>
                <c:pt idx="154">
                  <c:v>4.5975027289301069</c:v>
                </c:pt>
                <c:pt idx="155">
                  <c:v>4.6865876662342272</c:v>
                </c:pt>
                <c:pt idx="156">
                  <c:v>4.2361713466269757</c:v>
                </c:pt>
                <c:pt idx="157">
                  <c:v>4.4022536363283029</c:v>
                </c:pt>
                <c:pt idx="158">
                  <c:v>4.0851625559089513</c:v>
                </c:pt>
                <c:pt idx="159">
                  <c:v>3.6276415643243594</c:v>
                </c:pt>
                <c:pt idx="160">
                  <c:v>3.9441775109707971</c:v>
                </c:pt>
                <c:pt idx="161">
                  <c:v>4.2905088334077517</c:v>
                </c:pt>
                <c:pt idx="162">
                  <c:v>4.2745562872887559</c:v>
                </c:pt>
                <c:pt idx="163">
                  <c:v>4.1651460978032411</c:v>
                </c:pt>
                <c:pt idx="164">
                  <c:v>3.8294862535036236</c:v>
                </c:pt>
                <c:pt idx="165">
                  <c:v>3.7770927581097569</c:v>
                </c:pt>
                <c:pt idx="166">
                  <c:v>4.0944497356808434</c:v>
                </c:pt>
                <c:pt idx="167">
                  <c:v>3.9789919927979036</c:v>
                </c:pt>
                <c:pt idx="168">
                  <c:v>4.2601537950640704</c:v>
                </c:pt>
                <c:pt idx="169">
                  <c:v>4.3465363668920691</c:v>
                </c:pt>
                <c:pt idx="170">
                  <c:v>4.2806698599622468</c:v>
                </c:pt>
                <c:pt idx="171">
                  <c:v>4.1789028487115383</c:v>
                </c:pt>
                <c:pt idx="172">
                  <c:v>4.0571900900615656</c:v>
                </c:pt>
                <c:pt idx="173">
                  <c:v>4.1663451581605413</c:v>
                </c:pt>
                <c:pt idx="174">
                  <c:v>4.2702558627451923</c:v>
                </c:pt>
                <c:pt idx="175">
                  <c:v>4.0238247041627311</c:v>
                </c:pt>
                <c:pt idx="176">
                  <c:v>3.993572664664665</c:v>
                </c:pt>
                <c:pt idx="177">
                  <c:v>3.8975229881642321</c:v>
                </c:pt>
                <c:pt idx="178">
                  <c:v>3.9499597210365298</c:v>
                </c:pt>
                <c:pt idx="179">
                  <c:v>3.8661336300849483</c:v>
                </c:pt>
                <c:pt idx="180">
                  <c:v>3.3398423684331022</c:v>
                </c:pt>
                <c:pt idx="181">
                  <c:v>3.633945423301471</c:v>
                </c:pt>
                <c:pt idx="182">
                  <c:v>3.716546719047221</c:v>
                </c:pt>
                <c:pt idx="183">
                  <c:v>3.7341065396049489</c:v>
                </c:pt>
                <c:pt idx="184">
                  <c:v>3.6824891921046068</c:v>
                </c:pt>
                <c:pt idx="185">
                  <c:v>3.4119960087137065</c:v>
                </c:pt>
                <c:pt idx="186">
                  <c:v>3.4168452104192828</c:v>
                </c:pt>
                <c:pt idx="187">
                  <c:v>3.2620674378549923</c:v>
                </c:pt>
                <c:pt idx="188">
                  <c:v>3.9934682930805145</c:v>
                </c:pt>
                <c:pt idx="189">
                  <c:v>4.2162965086704691</c:v>
                </c:pt>
                <c:pt idx="190">
                  <c:v>4.3159597348042666</c:v>
                </c:pt>
                <c:pt idx="191">
                  <c:v>4.1856778583004326</c:v>
                </c:pt>
                <c:pt idx="192">
                  <c:v>4.0907960068047142</c:v>
                </c:pt>
                <c:pt idx="193">
                  <c:v>4.2760317706419828</c:v>
                </c:pt>
                <c:pt idx="194">
                  <c:v>4.2728144644734014</c:v>
                </c:pt>
                <c:pt idx="195">
                  <c:v>4.1512922783484809</c:v>
                </c:pt>
                <c:pt idx="196">
                  <c:v>4.2943254526209191</c:v>
                </c:pt>
                <c:pt idx="197">
                  <c:v>4.4938943555058932</c:v>
                </c:pt>
                <c:pt idx="198">
                  <c:v>4.6781671446439095</c:v>
                </c:pt>
                <c:pt idx="199">
                  <c:v>5.1321618235831208</c:v>
                </c:pt>
                <c:pt idx="200">
                  <c:v>5.2244488189173097</c:v>
                </c:pt>
                <c:pt idx="201">
                  <c:v>5.2783723307399022</c:v>
                </c:pt>
                <c:pt idx="202">
                  <c:v>5.2267812512807534</c:v>
                </c:pt>
                <c:pt idx="203">
                  <c:v>5.4041252703176879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B-45B4-932C-36F4A0BDA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6757632"/>
        <c:axId val="-1236754912"/>
      </c:lineChart>
      <c:dateAx>
        <c:axId val="-1236757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4912"/>
        <c:crosses val="autoZero"/>
        <c:auto val="1"/>
        <c:lblOffset val="100"/>
        <c:baseTimeUnit val="months"/>
      </c:dateAx>
      <c:valAx>
        <c:axId val="-123675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675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100011</xdr:colOff>
      <xdr:row>1</xdr:row>
      <xdr:rowOff>121442</xdr:rowOff>
    </xdr:from>
    <xdr:to>
      <xdr:col>12</xdr:col>
      <xdr:colOff>219486</xdr:colOff>
      <xdr:row>15</xdr:row>
      <xdr:rowOff>174467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CCFBEA4-B4EC-3499-5530-25199D6B7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252412</xdr:colOff>
      <xdr:row>5</xdr:row>
      <xdr:rowOff>173830</xdr:rowOff>
    </xdr:from>
    <xdr:to>
      <xdr:col>13</xdr:col>
      <xdr:colOff>38512</xdr:colOff>
      <xdr:row>20</xdr:row>
      <xdr:rowOff>50643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AD7139-C1C6-4501-9659-924601FC8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252412</xdr:colOff>
      <xdr:row>5</xdr:row>
      <xdr:rowOff>173830</xdr:rowOff>
    </xdr:from>
    <xdr:to>
      <xdr:col>13</xdr:col>
      <xdr:colOff>38512</xdr:colOff>
      <xdr:row>20</xdr:row>
      <xdr:rowOff>50643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37ED0E8-312D-0DF8-4282-AE8D6CB85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252412</xdr:colOff>
      <xdr:row>5</xdr:row>
      <xdr:rowOff>173830</xdr:rowOff>
    </xdr:from>
    <xdr:to>
      <xdr:col>13</xdr:col>
      <xdr:colOff>38512</xdr:colOff>
      <xdr:row>20</xdr:row>
      <xdr:rowOff>50643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0C52141-B62B-4AC4-B353-D01204FCD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5</xdr:row>
      <xdr:rowOff>173830</xdr:rowOff>
    </xdr:from>
    <xdr:to>
      <xdr:col>12</xdr:col>
      <xdr:colOff>576674</xdr:colOff>
      <xdr:row>20</xdr:row>
      <xdr:rowOff>50643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E47124B-48CC-7947-58A9-9D36F3CB7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523875</xdr:colOff>
      <xdr:row>11</xdr:row>
      <xdr:rowOff>128587</xdr:rowOff>
    </xdr:from>
    <xdr:to>
      <xdr:col>12</xdr:col>
      <xdr:colOff>423862</xdr:colOff>
      <xdr:row>11</xdr:row>
      <xdr:rowOff>128587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292086CF-3740-5130-65BF-96D8542467CB}"/>
            </a:ext>
          </a:extLst>
        </xdr:cNvPr>
        <xdr:cNvCxnSpPr/>
      </xdr:nvCxnSpPr>
      <xdr:spPr>
        <a:xfrm>
          <a:off x="4519613" y="2066925"/>
          <a:ext cx="3786187" cy="0"/>
        </a:xfrm>
        <a:prstGeom prst="line">
          <a:avLst/>
        </a:prstGeom>
        <a:ln>
          <a:solidFill>
            <a:schemeClr val="tx1">
              <a:lumMod val="75000"/>
              <a:lumOff val="2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5</xdr:row>
      <xdr:rowOff>173830</xdr:rowOff>
    </xdr:from>
    <xdr:to>
      <xdr:col>12</xdr:col>
      <xdr:colOff>576674</xdr:colOff>
      <xdr:row>20</xdr:row>
      <xdr:rowOff>50643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5CE6AA-68AA-481E-B9C3-556B9B16F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523875</xdr:colOff>
      <xdr:row>10</xdr:row>
      <xdr:rowOff>100012</xdr:rowOff>
    </xdr:from>
    <xdr:to>
      <xdr:col>12</xdr:col>
      <xdr:colOff>423862</xdr:colOff>
      <xdr:row>10</xdr:row>
      <xdr:rowOff>100012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A647A9E-C44C-4CCF-A164-AB4910E00308}"/>
            </a:ext>
          </a:extLst>
        </xdr:cNvPr>
        <xdr:cNvCxnSpPr/>
      </xdr:nvCxnSpPr>
      <xdr:spPr>
        <a:xfrm>
          <a:off x="4519613" y="1862137"/>
          <a:ext cx="3786187" cy="0"/>
        </a:xfrm>
        <a:prstGeom prst="line">
          <a:avLst/>
        </a:prstGeom>
        <a:ln>
          <a:solidFill>
            <a:schemeClr val="tx1">
              <a:lumMod val="75000"/>
              <a:lumOff val="2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21</xdr:col>
      <xdr:colOff>433800</xdr:colOff>
      <xdr:row>15</xdr:row>
      <xdr:rowOff>53025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72FA16C-7CBF-440F-9828-52990FC08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21</xdr:col>
      <xdr:colOff>433800</xdr:colOff>
      <xdr:row>30</xdr:row>
      <xdr:rowOff>53025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9E9D5C-D158-46CE-8635-2E8BFFD01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31</xdr:row>
      <xdr:rowOff>0</xdr:rowOff>
    </xdr:from>
    <xdr:to>
      <xdr:col>21</xdr:col>
      <xdr:colOff>433800</xdr:colOff>
      <xdr:row>45</xdr:row>
      <xdr:rowOff>53025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C9B2EEC-D38E-4CFF-B49B-B5A90DB70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46</xdr:row>
      <xdr:rowOff>0</xdr:rowOff>
    </xdr:from>
    <xdr:to>
      <xdr:col>21</xdr:col>
      <xdr:colOff>433800</xdr:colOff>
      <xdr:row>60</xdr:row>
      <xdr:rowOff>53025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A0CA510-5559-4410-8193-0C0C54983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61</xdr:row>
      <xdr:rowOff>0</xdr:rowOff>
    </xdr:from>
    <xdr:to>
      <xdr:col>21</xdr:col>
      <xdr:colOff>433800</xdr:colOff>
      <xdr:row>75</xdr:row>
      <xdr:rowOff>53025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A0022FB-FE30-42C0-9482-31EE45BDC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76</xdr:row>
      <xdr:rowOff>0</xdr:rowOff>
    </xdr:from>
    <xdr:to>
      <xdr:col>21</xdr:col>
      <xdr:colOff>433800</xdr:colOff>
      <xdr:row>90</xdr:row>
      <xdr:rowOff>53025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2DA0E27-8153-46B2-A178-92CD2821E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17</xdr:col>
      <xdr:colOff>328613</xdr:colOff>
      <xdr:row>12</xdr:row>
      <xdr:rowOff>4763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62E1FA6-3A37-CD03-3028-CEE17D695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0"/>
          <a:ext cx="5510213" cy="5719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i_dq_close"/>
      <definedName name="i_info_numberofconstituents"/>
      <definedName name="i_pq_pctchange"/>
      <definedName name="s_val_mv_ard"/>
      <definedName name="s_west_netprofit_cagr"/>
      <definedName name="to_windcode_index"/>
      <definedName name="wset"/>
    </defined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9"/>
  <sheetViews>
    <sheetView workbookViewId="0">
      <selection activeCell="L21" sqref="L21:O38"/>
    </sheetView>
  </sheetViews>
  <sheetFormatPr defaultRowHeight="13.9" x14ac:dyDescent="0.4"/>
  <cols>
    <col min="1" max="1" width="10.46484375" bestFit="1" customWidth="1"/>
    <col min="3" max="3" width="12.1328125" bestFit="1" customWidth="1"/>
    <col min="12" max="12" width="13.46484375" style="14" customWidth="1"/>
    <col min="13" max="15" width="16.265625" style="14" customWidth="1"/>
  </cols>
  <sheetData>
    <row r="1" spans="1:6" x14ac:dyDescent="0.4">
      <c r="B1" s="2" t="s">
        <v>0</v>
      </c>
      <c r="C1" s="2" t="s">
        <v>1</v>
      </c>
      <c r="D1" s="2" t="s">
        <v>0</v>
      </c>
      <c r="E1" s="2" t="s">
        <v>1</v>
      </c>
      <c r="F1" s="2" t="s">
        <v>2</v>
      </c>
    </row>
    <row r="2" spans="1:6" x14ac:dyDescent="0.4">
      <c r="A2" s="1">
        <v>39416</v>
      </c>
      <c r="B2">
        <v>1</v>
      </c>
      <c r="C2" s="3">
        <f>[1]!i_dq_close("881001.WI",A2)</f>
        <v>3359.5952000000002</v>
      </c>
    </row>
    <row r="3" spans="1:6" x14ac:dyDescent="0.4">
      <c r="A3" s="1">
        <v>39447</v>
      </c>
      <c r="B3">
        <v>1</v>
      </c>
      <c r="C3" s="3">
        <f>[1]!i_dq_close("881001.WI",A3)</f>
        <v>3858.7986000000001</v>
      </c>
    </row>
    <row r="4" spans="1:6" x14ac:dyDescent="0.4">
      <c r="A4" s="1">
        <v>39478</v>
      </c>
      <c r="B4">
        <v>1</v>
      </c>
      <c r="C4" s="3">
        <f>[1]!i_dq_close("881001.WI",A4)</f>
        <v>3430.9375</v>
      </c>
    </row>
    <row r="5" spans="1:6" x14ac:dyDescent="0.4">
      <c r="A5" s="1">
        <v>39507</v>
      </c>
      <c r="B5">
        <v>1</v>
      </c>
      <c r="C5" s="3">
        <f>[1]!i_dq_close("881001.WI",A5)</f>
        <v>3548.4241000000002</v>
      </c>
    </row>
    <row r="6" spans="1:6" x14ac:dyDescent="0.4">
      <c r="A6" s="1">
        <v>39538</v>
      </c>
      <c r="B6">
        <v>1</v>
      </c>
      <c r="C6" s="3">
        <f>[1]!i_dq_close("881001.WI",A6)</f>
        <v>2870.1190999999999</v>
      </c>
    </row>
    <row r="7" spans="1:6" x14ac:dyDescent="0.4">
      <c r="A7" s="1">
        <v>39568</v>
      </c>
      <c r="B7">
        <v>1</v>
      </c>
      <c r="C7" s="3">
        <f>[1]!i_dq_close("881001.WI",A7)</f>
        <v>2946.6945999999998</v>
      </c>
    </row>
    <row r="8" spans="1:6" x14ac:dyDescent="0.4">
      <c r="A8" s="1">
        <v>39599</v>
      </c>
      <c r="B8">
        <v>1</v>
      </c>
      <c r="C8" s="3">
        <f>[1]!i_dq_close("881001.WI",A8)</f>
        <v>2724.3125</v>
      </c>
    </row>
    <row r="9" spans="1:6" x14ac:dyDescent="0.4">
      <c r="A9" s="1">
        <v>39629</v>
      </c>
      <c r="B9">
        <v>1</v>
      </c>
      <c r="C9" s="3">
        <f>[1]!i_dq_close("881001.WI",A9)</f>
        <v>2113.6631000000002</v>
      </c>
    </row>
    <row r="10" spans="1:6" x14ac:dyDescent="0.4">
      <c r="A10" s="1">
        <v>39660</v>
      </c>
      <c r="B10">
        <v>1</v>
      </c>
      <c r="C10" s="3">
        <f>[1]!i_dq_close("881001.WI",A10)</f>
        <v>2178.0351999999998</v>
      </c>
    </row>
    <row r="11" spans="1:6" x14ac:dyDescent="0.4">
      <c r="A11" s="1">
        <v>39691</v>
      </c>
      <c r="B11">
        <v>1</v>
      </c>
      <c r="C11" s="3">
        <f>[1]!i_dq_close("881001.WI",A11)</f>
        <v>1805.5679</v>
      </c>
    </row>
    <row r="12" spans="1:6" x14ac:dyDescent="0.4">
      <c r="A12" s="1">
        <v>39721</v>
      </c>
      <c r="B12">
        <v>1</v>
      </c>
      <c r="C12" s="3">
        <f>[1]!i_dq_close("881001.WI",A12)</f>
        <v>1686.1022</v>
      </c>
    </row>
    <row r="13" spans="1:6" x14ac:dyDescent="0.4">
      <c r="A13" s="1">
        <v>39752</v>
      </c>
      <c r="B13">
        <v>1</v>
      </c>
      <c r="C13" s="3">
        <f>[1]!i_dq_close("881001.WI",A13)</f>
        <v>1251.954</v>
      </c>
    </row>
    <row r="14" spans="1:6" x14ac:dyDescent="0.4">
      <c r="A14" s="1">
        <v>39782</v>
      </c>
      <c r="B14">
        <v>1</v>
      </c>
      <c r="C14" s="3">
        <f>[1]!i_dq_close("881001.WI",A14)</f>
        <v>1410.1641</v>
      </c>
    </row>
    <row r="15" spans="1:6" x14ac:dyDescent="0.4">
      <c r="A15" s="1">
        <v>39813</v>
      </c>
      <c r="B15">
        <v>1</v>
      </c>
      <c r="C15" s="3">
        <f>[1]!i_dq_close("881001.WI",A15)</f>
        <v>1430.7929999999999</v>
      </c>
    </row>
    <row r="16" spans="1:6" x14ac:dyDescent="0.4">
      <c r="A16" s="1">
        <v>39844</v>
      </c>
      <c r="B16">
        <v>1</v>
      </c>
      <c r="C16" s="3">
        <f>[1]!i_dq_close("881001.WI",A16)</f>
        <v>1618.8581999999999</v>
      </c>
      <c r="D16" s="2">
        <f>B16/B$16</f>
        <v>1</v>
      </c>
      <c r="E16" s="2">
        <f>C16/C$16</f>
        <v>1</v>
      </c>
      <c r="F16" s="4">
        <v>0</v>
      </c>
    </row>
    <row r="17" spans="1:15" x14ac:dyDescent="0.4">
      <c r="A17" s="1">
        <v>39872</v>
      </c>
      <c r="B17">
        <v>1.0496448116085599</v>
      </c>
      <c r="C17" s="3">
        <f>[1]!i_dq_close("881001.WI",A17)</f>
        <v>1711.6703</v>
      </c>
      <c r="D17" s="2">
        <f>B17/B$16</f>
        <v>1.0496448116085599</v>
      </c>
      <c r="E17" s="2">
        <f>C17/C$16</f>
        <v>1.057331828074874</v>
      </c>
      <c r="F17" s="5">
        <f>(F16+1)*(B17/B16-C17/C16+1)-1</f>
        <v>-7.6870164663140894E-3</v>
      </c>
      <c r="G17" s="2">
        <f>IF(F17&gt;F16,1,0)</f>
        <v>0</v>
      </c>
    </row>
    <row r="18" spans="1:15" x14ac:dyDescent="0.4">
      <c r="A18" s="1">
        <v>39903</v>
      </c>
      <c r="B18">
        <v>1.2669790102027001</v>
      </c>
      <c r="C18" s="3">
        <f>[1]!i_dq_close("881001.WI",A18)</f>
        <v>2026.4078</v>
      </c>
      <c r="D18" s="2">
        <f t="shared" ref="D18:D81" si="0">B18/B$16</f>
        <v>1.2669790102027001</v>
      </c>
      <c r="E18" s="2">
        <f t="shared" ref="E18:E81" si="1">C18/C$16</f>
        <v>1.2517512651818423</v>
      </c>
      <c r="F18" s="5">
        <f t="shared" ref="F18:F81" si="2">(F17+1)*(B18/B17-C18/C17+1)-1</f>
        <v>1.53124004658729E-2</v>
      </c>
      <c r="G18" s="2">
        <f t="shared" ref="G18:G81" si="3">IF(F18&gt;F17,1,0)</f>
        <v>1</v>
      </c>
      <c r="H18" s="8"/>
      <c r="L18" s="15" t="s">
        <v>12</v>
      </c>
    </row>
    <row r="19" spans="1:15" x14ac:dyDescent="0.4">
      <c r="A19" s="1">
        <v>39933</v>
      </c>
      <c r="B19">
        <v>1.4974465456873101</v>
      </c>
      <c r="C19" s="3">
        <f>[1]!i_dq_close("881001.WI",A19)</f>
        <v>2126.0664000000002</v>
      </c>
      <c r="D19" s="2">
        <f t="shared" si="0"/>
        <v>1.4974465456873101</v>
      </c>
      <c r="E19" s="2">
        <f t="shared" si="1"/>
        <v>1.3133123086382736</v>
      </c>
      <c r="F19" s="5">
        <f t="shared" si="2"/>
        <v>0.15006797855410992</v>
      </c>
      <c r="G19" s="2">
        <f t="shared" si="3"/>
        <v>1</v>
      </c>
      <c r="L19" s="23">
        <f>B219^(12/203)-1</f>
        <v>0.2744562564895372</v>
      </c>
    </row>
    <row r="20" spans="1:15" x14ac:dyDescent="0.4">
      <c r="A20" s="1">
        <v>39964</v>
      </c>
      <c r="B20">
        <v>1.5380247495149599</v>
      </c>
      <c r="C20" s="3">
        <f>[1]!i_dq_close("881001.WI",A20)</f>
        <v>2241.2397000000001</v>
      </c>
      <c r="D20" s="2">
        <f t="shared" si="0"/>
        <v>1.5380247495149599</v>
      </c>
      <c r="E20" s="2">
        <f t="shared" si="1"/>
        <v>1.3844570821582769</v>
      </c>
      <c r="F20" s="5">
        <f t="shared" si="2"/>
        <v>0.11893132650409233</v>
      </c>
      <c r="G20" s="2">
        <f t="shared" si="3"/>
        <v>0</v>
      </c>
    </row>
    <row r="21" spans="1:15" x14ac:dyDescent="0.4">
      <c r="A21" s="1">
        <v>39994</v>
      </c>
      <c r="B21">
        <v>1.5539718979250901</v>
      </c>
      <c r="C21" s="3">
        <f>[1]!i_dq_close("881001.WI",A21)</f>
        <v>2500.6417999999999</v>
      </c>
      <c r="D21" s="2">
        <f t="shared" si="0"/>
        <v>1.5539718979250901</v>
      </c>
      <c r="E21" s="2">
        <f t="shared" si="1"/>
        <v>1.5446947731431944</v>
      </c>
      <c r="F21" s="5">
        <f t="shared" si="2"/>
        <v>1.0274474135132383E-3</v>
      </c>
      <c r="G21" s="2">
        <f t="shared" si="3"/>
        <v>0</v>
      </c>
      <c r="L21" s="16"/>
      <c r="M21" s="16" t="s">
        <v>9</v>
      </c>
      <c r="N21" s="16" t="s">
        <v>10</v>
      </c>
      <c r="O21" s="16" t="s">
        <v>11</v>
      </c>
    </row>
    <row r="22" spans="1:15" x14ac:dyDescent="0.4">
      <c r="A22" s="1">
        <v>40025</v>
      </c>
      <c r="B22">
        <v>1.96082039810816</v>
      </c>
      <c r="C22" s="3">
        <f>[1]!i_dq_close("881001.WI",A22)</f>
        <v>2907.0378000000001</v>
      </c>
      <c r="D22" s="2">
        <f t="shared" si="0"/>
        <v>1.96082039810816</v>
      </c>
      <c r="E22" s="2">
        <f t="shared" si="1"/>
        <v>1.7957334373078508</v>
      </c>
      <c r="F22" s="5">
        <f t="shared" si="2"/>
        <v>0.10042479562838946</v>
      </c>
      <c r="G22" s="2">
        <f t="shared" si="3"/>
        <v>1</v>
      </c>
      <c r="L22" s="19">
        <v>2009</v>
      </c>
      <c r="M22" s="17">
        <f>B27/B16-1</f>
        <v>1.3261954647899299</v>
      </c>
      <c r="N22" s="17">
        <f>C27/C16-1</f>
        <v>0.81596318936396051</v>
      </c>
      <c r="O22" s="18">
        <f>M22-N22</f>
        <v>0.51023227542596938</v>
      </c>
    </row>
    <row r="23" spans="1:15" x14ac:dyDescent="0.4">
      <c r="A23" s="1">
        <v>40056</v>
      </c>
      <c r="B23">
        <v>1.6836461040849</v>
      </c>
      <c r="C23" s="3">
        <f>[1]!i_dq_close("881001.WI",A23)</f>
        <v>2290.3669</v>
      </c>
      <c r="D23" s="2">
        <f t="shared" si="0"/>
        <v>1.6836461040849</v>
      </c>
      <c r="E23" s="2">
        <f t="shared" si="1"/>
        <v>1.4148039031460571</v>
      </c>
      <c r="F23" s="5">
        <f t="shared" si="2"/>
        <v>0.17830631031232724</v>
      </c>
      <c r="G23" s="2">
        <f t="shared" si="3"/>
        <v>1</v>
      </c>
      <c r="L23" s="20">
        <v>2010</v>
      </c>
      <c r="M23" s="21">
        <f>B39/B27-1</f>
        <v>7.3504159469768071E-2</v>
      </c>
      <c r="N23" s="21">
        <f>C39/C27-1</f>
        <v>-6.8786720561276105E-2</v>
      </c>
      <c r="O23" s="22">
        <f t="shared" ref="O23:O38" si="4">M23-N23</f>
        <v>0.14229088003104418</v>
      </c>
    </row>
    <row r="24" spans="1:15" x14ac:dyDescent="0.4">
      <c r="A24" s="1">
        <v>40086</v>
      </c>
      <c r="B24">
        <v>1.8227285579153101</v>
      </c>
      <c r="C24" s="3">
        <f>[1]!i_dq_close("881001.WI",A24)</f>
        <v>2406.5756999999999</v>
      </c>
      <c r="D24" s="2">
        <f t="shared" si="0"/>
        <v>1.8227285579153101</v>
      </c>
      <c r="E24" s="2">
        <f t="shared" si="1"/>
        <v>1.4865883250305678</v>
      </c>
      <c r="F24" s="5">
        <f t="shared" si="2"/>
        <v>0.21585871948477697</v>
      </c>
      <c r="G24" s="2">
        <f t="shared" si="3"/>
        <v>1</v>
      </c>
      <c r="L24" s="19">
        <v>2011</v>
      </c>
      <c r="M24" s="17">
        <f>B51/B39-1</f>
        <v>-0.33098391837651819</v>
      </c>
      <c r="N24" s="17">
        <f>C51/C39-1</f>
        <v>-0.22418272915608395</v>
      </c>
      <c r="O24" s="18">
        <f t="shared" si="4"/>
        <v>-0.10680118922043425</v>
      </c>
    </row>
    <row r="25" spans="1:15" x14ac:dyDescent="0.4">
      <c r="A25" s="1">
        <v>40117</v>
      </c>
      <c r="B25">
        <v>2.0177385319948402</v>
      </c>
      <c r="C25" s="3">
        <f>[1]!i_dq_close("881001.WI",A25)</f>
        <v>2631.8694</v>
      </c>
      <c r="D25" s="2">
        <f t="shared" si="0"/>
        <v>2.0177385319948402</v>
      </c>
      <c r="E25" s="2">
        <f t="shared" si="1"/>
        <v>1.625756598076348</v>
      </c>
      <c r="F25" s="5">
        <f t="shared" si="2"/>
        <v>0.23211725654064308</v>
      </c>
      <c r="G25" s="2">
        <f t="shared" si="3"/>
        <v>1</v>
      </c>
      <c r="L25" s="20">
        <v>2012</v>
      </c>
      <c r="M25" s="21">
        <f>B63/B51-1</f>
        <v>4.719523140616233E-2</v>
      </c>
      <c r="N25" s="21">
        <f>C63/C51-1</f>
        <v>4.6795611560686901E-2</v>
      </c>
      <c r="O25" s="22">
        <f t="shared" si="4"/>
        <v>3.9961984547542961E-4</v>
      </c>
    </row>
    <row r="26" spans="1:15" x14ac:dyDescent="0.4">
      <c r="A26" s="1">
        <v>40147</v>
      </c>
      <c r="B26">
        <v>2.2947199422620299</v>
      </c>
      <c r="C26" s="3">
        <f>[1]!i_dq_close("881001.WI",A26)</f>
        <v>2855.1345000000001</v>
      </c>
      <c r="D26" s="2">
        <f t="shared" si="0"/>
        <v>2.2947199422620299</v>
      </c>
      <c r="E26" s="2">
        <f t="shared" si="1"/>
        <v>1.7636717656926346</v>
      </c>
      <c r="F26" s="5">
        <f t="shared" si="2"/>
        <v>0.29673172507096823</v>
      </c>
      <c r="G26" s="2">
        <f t="shared" si="3"/>
        <v>1</v>
      </c>
      <c r="L26" s="19">
        <v>2013</v>
      </c>
      <c r="M26" s="17">
        <f>B75/B63-1</f>
        <v>0.40996924291979986</v>
      </c>
      <c r="N26" s="17">
        <f>C75/C63-1</f>
        <v>5.4405732174664267E-2</v>
      </c>
      <c r="O26" s="18">
        <f t="shared" si="4"/>
        <v>0.35556351074513559</v>
      </c>
    </row>
    <row r="27" spans="1:15" x14ac:dyDescent="0.4">
      <c r="A27" s="1">
        <v>40178</v>
      </c>
      <c r="B27">
        <v>2.3261954647899299</v>
      </c>
      <c r="C27" s="3">
        <f>[1]!i_dq_close("881001.WI",A27)</f>
        <v>2939.7869000000001</v>
      </c>
      <c r="D27" s="2">
        <f t="shared" si="0"/>
        <v>2.3261954647899299</v>
      </c>
      <c r="E27" s="2">
        <f t="shared" si="1"/>
        <v>1.8159631893639605</v>
      </c>
      <c r="F27" s="5">
        <f t="shared" si="2"/>
        <v>0.27607130994565598</v>
      </c>
      <c r="G27" s="2">
        <f t="shared" si="3"/>
        <v>0</v>
      </c>
      <c r="L27" s="20">
        <v>2014</v>
      </c>
      <c r="M27" s="21">
        <f>B87/B75-1</f>
        <v>0.47946683913559252</v>
      </c>
      <c r="N27" s="21">
        <f>C87/C75-1</f>
        <v>0.5243948780755201</v>
      </c>
      <c r="O27" s="22">
        <f t="shared" si="4"/>
        <v>-4.4928038939927584E-2</v>
      </c>
    </row>
    <row r="28" spans="1:15" x14ac:dyDescent="0.4">
      <c r="A28" s="1">
        <v>40209</v>
      </c>
      <c r="B28">
        <v>2.1521625147818502</v>
      </c>
      <c r="C28" s="3">
        <f>[1]!i_dq_close("881001.WI",A28)</f>
        <v>2687.7941999999998</v>
      </c>
      <c r="D28" s="2">
        <f t="shared" si="0"/>
        <v>2.1521625147818502</v>
      </c>
      <c r="E28" s="2">
        <f t="shared" si="1"/>
        <v>1.660302427970529</v>
      </c>
      <c r="F28" s="5">
        <f t="shared" si="2"/>
        <v>0.2899850836985487</v>
      </c>
      <c r="G28" s="2">
        <f t="shared" si="3"/>
        <v>1</v>
      </c>
      <c r="L28" s="19">
        <v>2015</v>
      </c>
      <c r="M28" s="17">
        <f>B99/B87-1</f>
        <v>0.54626132154768192</v>
      </c>
      <c r="N28" s="17">
        <f>C99/C87-1</f>
        <v>0.38497841558956836</v>
      </c>
      <c r="O28" s="18">
        <f t="shared" si="4"/>
        <v>0.16128290595811356</v>
      </c>
    </row>
    <row r="29" spans="1:15" x14ac:dyDescent="0.4">
      <c r="A29" s="1">
        <v>40237</v>
      </c>
      <c r="B29">
        <v>2.3211604116764901</v>
      </c>
      <c r="C29" s="3">
        <f>[1]!i_dq_close("881001.WI",A29)</f>
        <v>2771.1149999999998</v>
      </c>
      <c r="D29" s="2">
        <f t="shared" si="0"/>
        <v>2.3211604116764901</v>
      </c>
      <c r="E29" s="2">
        <f t="shared" si="1"/>
        <v>1.711771296584222</v>
      </c>
      <c r="F29" s="5">
        <f t="shared" si="2"/>
        <v>0.35129162010778581</v>
      </c>
      <c r="G29" s="2">
        <f t="shared" si="3"/>
        <v>1</v>
      </c>
      <c r="L29" s="20">
        <v>2016</v>
      </c>
      <c r="M29" s="21">
        <f>B111/B99-1</f>
        <v>-0.14326061907591225</v>
      </c>
      <c r="N29" s="21">
        <f>C111/C99-1</f>
        <v>-0.12910599830239067</v>
      </c>
      <c r="O29" s="22">
        <f t="shared" si="4"/>
        <v>-1.4154620773521587E-2</v>
      </c>
    </row>
    <row r="30" spans="1:15" x14ac:dyDescent="0.4">
      <c r="A30" s="1">
        <v>40268</v>
      </c>
      <c r="B30">
        <v>2.3333501424718999</v>
      </c>
      <c r="C30" s="3">
        <f>[1]!i_dq_close("881001.WI",A30)</f>
        <v>2841.9175</v>
      </c>
      <c r="D30" s="2">
        <f t="shared" si="0"/>
        <v>2.3333501424718999</v>
      </c>
      <c r="E30" s="2">
        <f t="shared" si="1"/>
        <v>1.7555073693298153</v>
      </c>
      <c r="F30" s="5">
        <f t="shared" si="2"/>
        <v>0.32386226894745329</v>
      </c>
      <c r="G30" s="2">
        <f t="shared" si="3"/>
        <v>0</v>
      </c>
      <c r="L30" s="19">
        <v>2017</v>
      </c>
      <c r="M30" s="17">
        <f>B123/B111-1</f>
        <v>0.31520853975028862</v>
      </c>
      <c r="N30" s="17">
        <f>C123/C111-1</f>
        <v>4.9300842682324264E-2</v>
      </c>
      <c r="O30" s="18">
        <f t="shared" si="4"/>
        <v>0.26590769706796435</v>
      </c>
    </row>
    <row r="31" spans="1:15" x14ac:dyDescent="0.4">
      <c r="A31" s="1">
        <v>40298</v>
      </c>
      <c r="B31">
        <v>2.2149570823593101</v>
      </c>
      <c r="C31" s="3">
        <f>[1]!i_dq_close("881001.WI",A31)</f>
        <v>2623.2981</v>
      </c>
      <c r="D31" s="2">
        <f t="shared" si="0"/>
        <v>2.2149570823593101</v>
      </c>
      <c r="E31" s="2">
        <f t="shared" si="1"/>
        <v>1.6204619403972504</v>
      </c>
      <c r="F31" s="5">
        <f t="shared" si="2"/>
        <v>0.35853052224905801</v>
      </c>
      <c r="G31" s="2">
        <f t="shared" si="3"/>
        <v>1</v>
      </c>
      <c r="L31" s="20">
        <v>2018</v>
      </c>
      <c r="M31" s="21">
        <f>B135/B123-1</f>
        <v>-0.21388595359377505</v>
      </c>
      <c r="N31" s="21">
        <f>C135/C123-1</f>
        <v>-0.28253486362704305</v>
      </c>
      <c r="O31" s="22">
        <f t="shared" si="4"/>
        <v>6.8648910033268007E-2</v>
      </c>
    </row>
    <row r="32" spans="1:15" x14ac:dyDescent="0.4">
      <c r="A32" s="1">
        <v>40329</v>
      </c>
      <c r="B32">
        <v>2.04512668725864</v>
      </c>
      <c r="C32" s="3">
        <f>[1]!i_dq_close("881001.WI",A32)</f>
        <v>2405.4834000000001</v>
      </c>
      <c r="D32" s="2">
        <f t="shared" si="0"/>
        <v>2.04512668725864</v>
      </c>
      <c r="E32" s="2">
        <f t="shared" si="1"/>
        <v>1.4859135902082099</v>
      </c>
      <c r="F32" s="5">
        <f t="shared" si="2"/>
        <v>0.36716603618114241</v>
      </c>
      <c r="G32" s="2">
        <f t="shared" si="3"/>
        <v>1</v>
      </c>
      <c r="L32" s="19">
        <v>2019</v>
      </c>
      <c r="M32" s="17">
        <f>B147/B135-1</f>
        <v>0.40636836226103878</v>
      </c>
      <c r="N32" s="17">
        <f>C147/C135-1</f>
        <v>0.33024003392405077</v>
      </c>
      <c r="O32" s="18">
        <f t="shared" si="4"/>
        <v>7.6128328336988016E-2</v>
      </c>
    </row>
    <row r="33" spans="1:15" x14ac:dyDescent="0.4">
      <c r="A33" s="1">
        <v>40359</v>
      </c>
      <c r="B33">
        <v>1.9079085146722199</v>
      </c>
      <c r="C33" s="3">
        <f>[1]!i_dq_close("881001.WI",A33)</f>
        <v>2221.4492</v>
      </c>
      <c r="D33" s="2">
        <f t="shared" si="0"/>
        <v>1.9079085146722199</v>
      </c>
      <c r="E33" s="2">
        <f t="shared" si="1"/>
        <v>1.3722321077905404</v>
      </c>
      <c r="F33" s="5">
        <f t="shared" si="2"/>
        <v>0.38003233313326912</v>
      </c>
      <c r="G33" s="2">
        <f t="shared" si="3"/>
        <v>1</v>
      </c>
      <c r="L33" s="20">
        <v>2020</v>
      </c>
      <c r="M33" s="21">
        <f>B159/B147-1</f>
        <v>0.69410605813725157</v>
      </c>
      <c r="N33" s="21">
        <f>C159/C147-1</f>
        <v>0.25615885258992521</v>
      </c>
      <c r="O33" s="22">
        <f t="shared" si="4"/>
        <v>0.43794720554732636</v>
      </c>
    </row>
    <row r="34" spans="1:15" x14ac:dyDescent="0.4">
      <c r="A34" s="1">
        <v>40390</v>
      </c>
      <c r="B34">
        <v>2.1530862321320399</v>
      </c>
      <c r="C34" s="3">
        <f>[1]!i_dq_close("881001.WI",A34)</f>
        <v>2485.0549000000001</v>
      </c>
      <c r="D34" s="2">
        <f t="shared" si="0"/>
        <v>2.1530862321320399</v>
      </c>
      <c r="E34" s="2">
        <f t="shared" si="1"/>
        <v>1.5350664437441155</v>
      </c>
      <c r="F34" s="5">
        <f t="shared" si="2"/>
        <v>0.39361484617749398</v>
      </c>
      <c r="G34" s="2">
        <f t="shared" si="3"/>
        <v>1</v>
      </c>
      <c r="L34" s="19">
        <v>2021</v>
      </c>
      <c r="M34" s="17">
        <f>B171/B159-1</f>
        <v>0.47129520348936538</v>
      </c>
      <c r="N34" s="17">
        <f>C171/C159-1</f>
        <v>9.1697406051458374E-2</v>
      </c>
      <c r="O34" s="18">
        <f t="shared" si="4"/>
        <v>0.379597797437907</v>
      </c>
    </row>
    <row r="35" spans="1:15" x14ac:dyDescent="0.4">
      <c r="A35" s="1">
        <v>40421</v>
      </c>
      <c r="B35">
        <v>2.25770116163166</v>
      </c>
      <c r="C35" s="3">
        <f>[1]!i_dq_close("881001.WI",A35)</f>
        <v>2548.1950999999999</v>
      </c>
      <c r="D35" s="2">
        <f t="shared" si="0"/>
        <v>2.25770116163166</v>
      </c>
      <c r="E35" s="2">
        <f t="shared" si="1"/>
        <v>1.5740693656800824</v>
      </c>
      <c r="F35" s="5">
        <f t="shared" si="2"/>
        <v>0.42591938236723759</v>
      </c>
      <c r="G35" s="2">
        <f t="shared" si="3"/>
        <v>1</v>
      </c>
      <c r="L35" s="20">
        <v>2022</v>
      </c>
      <c r="M35" s="21">
        <f>B183/B171-1</f>
        <v>0.43537772195455404</v>
      </c>
      <c r="N35" s="21">
        <f>C183/C171-1</f>
        <v>-0.18655360314994174</v>
      </c>
      <c r="O35" s="22">
        <f t="shared" si="4"/>
        <v>0.62193132510449578</v>
      </c>
    </row>
    <row r="36" spans="1:15" x14ac:dyDescent="0.4">
      <c r="A36" s="1">
        <v>40451</v>
      </c>
      <c r="B36">
        <v>2.3328539831173098</v>
      </c>
      <c r="C36" s="3">
        <f>[1]!i_dq_close("881001.WI",A36)</f>
        <v>2575.3314999999998</v>
      </c>
      <c r="D36" s="2">
        <f t="shared" si="0"/>
        <v>2.3328539831173098</v>
      </c>
      <c r="E36" s="2">
        <f t="shared" si="1"/>
        <v>1.5908320444619546</v>
      </c>
      <c r="F36" s="5">
        <f t="shared" si="2"/>
        <v>0.45819942679484216</v>
      </c>
      <c r="G36" s="2">
        <f t="shared" si="3"/>
        <v>1</v>
      </c>
      <c r="L36" s="19">
        <v>2023</v>
      </c>
      <c r="M36" s="43">
        <f>B195/B183-1</f>
        <v>5.0904200788468579E-2</v>
      </c>
      <c r="N36" s="43">
        <f>C195/C183-1</f>
        <v>-5.1906442159938448E-2</v>
      </c>
      <c r="O36" s="18">
        <f t="shared" si="4"/>
        <v>0.10281064294840703</v>
      </c>
    </row>
    <row r="37" spans="1:15" ht="14.2" customHeight="1" x14ac:dyDescent="0.4">
      <c r="A37" s="1">
        <v>40482</v>
      </c>
      <c r="B37">
        <v>2.6887743830121802</v>
      </c>
      <c r="C37" s="3">
        <f>[1]!i_dq_close("881001.WI",A37)</f>
        <v>2884.6086</v>
      </c>
      <c r="D37" s="2">
        <f t="shared" si="0"/>
        <v>2.6887743830121802</v>
      </c>
      <c r="E37" s="2">
        <f t="shared" si="1"/>
        <v>1.7818784869483937</v>
      </c>
      <c r="F37" s="5">
        <f t="shared" si="2"/>
        <v>0.50555664931938127</v>
      </c>
      <c r="G37" s="2">
        <f t="shared" si="3"/>
        <v>1</v>
      </c>
      <c r="L37" s="45">
        <v>2024</v>
      </c>
      <c r="M37" s="44">
        <f>B207/B195-1</f>
        <v>0.62027758569364555</v>
      </c>
      <c r="N37" s="46">
        <f>C207/C195-1</f>
        <v>0.10003526916223815</v>
      </c>
      <c r="O37" s="42">
        <f t="shared" si="4"/>
        <v>0.5202423165314074</v>
      </c>
    </row>
    <row r="38" spans="1:15" x14ac:dyDescent="0.4">
      <c r="A38" s="1">
        <v>40512</v>
      </c>
      <c r="B38">
        <v>2.6372528422396599</v>
      </c>
      <c r="C38" s="3">
        <f>[1]!i_dq_close("881001.WI",A38)</f>
        <v>2762.1379000000002</v>
      </c>
      <c r="D38" s="2">
        <f t="shared" si="0"/>
        <v>2.6372528422396599</v>
      </c>
      <c r="E38" s="2">
        <f t="shared" si="1"/>
        <v>1.7062259684016798</v>
      </c>
      <c r="F38" s="5">
        <f t="shared" si="2"/>
        <v>0.54062842525124633</v>
      </c>
      <c r="G38" s="2">
        <f t="shared" si="3"/>
        <v>1</v>
      </c>
      <c r="L38" s="49">
        <v>2025</v>
      </c>
      <c r="M38" s="50">
        <f>B219/B207-1</f>
        <v>0.41269274599585981</v>
      </c>
      <c r="N38" s="50">
        <f>C219/C207-1</f>
        <v>0.27646742687819015</v>
      </c>
      <c r="O38" s="18">
        <f t="shared" si="4"/>
        <v>0.13622531911766966</v>
      </c>
    </row>
    <row r="39" spans="1:15" x14ac:dyDescent="0.4">
      <c r="A39" s="1">
        <v>40543</v>
      </c>
      <c r="B39">
        <v>2.4971805071916999</v>
      </c>
      <c r="C39" s="3">
        <f>[1]!i_dq_close("881001.WI",A39)</f>
        <v>2737.5686000000001</v>
      </c>
      <c r="D39" s="2">
        <f t="shared" si="0"/>
        <v>2.4971805071916999</v>
      </c>
      <c r="E39" s="2">
        <f t="shared" si="1"/>
        <v>1.6910490369076181</v>
      </c>
      <c r="F39" s="5">
        <f t="shared" si="2"/>
        <v>0.47250500795782391</v>
      </c>
      <c r="G39" s="2">
        <f t="shared" si="3"/>
        <v>0</v>
      </c>
    </row>
    <row r="40" spans="1:15" x14ac:dyDescent="0.4">
      <c r="A40" s="1">
        <v>40574</v>
      </c>
      <c r="B40">
        <v>2.5837712762340002</v>
      </c>
      <c r="C40" s="3">
        <f>[1]!i_dq_close("881001.WI",A40)</f>
        <v>2681.9158000000002</v>
      </c>
      <c r="D40" s="2">
        <f t="shared" si="0"/>
        <v>2.5837712762340002</v>
      </c>
      <c r="E40" s="2">
        <f t="shared" si="1"/>
        <v>1.6566712266707488</v>
      </c>
      <c r="F40" s="5">
        <f t="shared" si="2"/>
        <v>0.55349969675519994</v>
      </c>
      <c r="G40" s="2">
        <f t="shared" si="3"/>
        <v>1</v>
      </c>
    </row>
    <row r="41" spans="1:15" x14ac:dyDescent="0.4">
      <c r="A41" s="1">
        <v>40602</v>
      </c>
      <c r="B41">
        <v>2.7301256785839501</v>
      </c>
      <c r="C41" s="3">
        <f>[1]!i_dq_close("881001.WI",A41)</f>
        <v>2824.3620999999998</v>
      </c>
      <c r="D41" s="2">
        <f t="shared" si="0"/>
        <v>2.7301256785839501</v>
      </c>
      <c r="E41" s="2">
        <f t="shared" si="1"/>
        <v>1.7446630594328769</v>
      </c>
      <c r="F41" s="5">
        <f t="shared" si="2"/>
        <v>0.55898367230061385</v>
      </c>
      <c r="G41" s="2">
        <f t="shared" si="3"/>
        <v>1</v>
      </c>
    </row>
    <row r="42" spans="1:15" x14ac:dyDescent="0.4">
      <c r="A42" s="1">
        <v>40633</v>
      </c>
      <c r="B42">
        <v>2.6964032568824901</v>
      </c>
      <c r="C42" s="3">
        <f>[1]!i_dq_close("881001.WI",A42)</f>
        <v>2829.7332000000001</v>
      </c>
      <c r="D42" s="2">
        <f t="shared" si="0"/>
        <v>2.6964032568824901</v>
      </c>
      <c r="E42" s="2">
        <f t="shared" si="1"/>
        <v>1.7479808917173847</v>
      </c>
      <c r="F42" s="5">
        <f t="shared" si="2"/>
        <v>0.53676243266409207</v>
      </c>
      <c r="G42" s="2">
        <f t="shared" si="3"/>
        <v>0</v>
      </c>
    </row>
    <row r="43" spans="1:15" x14ac:dyDescent="0.4">
      <c r="A43" s="1">
        <v>40663</v>
      </c>
      <c r="B43">
        <v>2.5977124347932299</v>
      </c>
      <c r="C43" s="3">
        <f>[1]!i_dq_close("881001.WI",A43)</f>
        <v>2791.1300999999999</v>
      </c>
      <c r="D43" s="2">
        <f t="shared" si="0"/>
        <v>2.5977124347932299</v>
      </c>
      <c r="E43" s="2">
        <f t="shared" si="1"/>
        <v>1.7241350107131064</v>
      </c>
      <c r="F43" s="5">
        <f t="shared" si="2"/>
        <v>0.50147997172042791</v>
      </c>
      <c r="G43" s="2">
        <f t="shared" si="3"/>
        <v>0</v>
      </c>
    </row>
    <row r="44" spans="1:15" x14ac:dyDescent="0.4">
      <c r="A44" s="1">
        <v>40694</v>
      </c>
      <c r="B44">
        <v>2.4115980834418398</v>
      </c>
      <c r="C44" s="3">
        <f>[1]!i_dq_close("881001.WI",A44)</f>
        <v>2624.0470999999998</v>
      </c>
      <c r="D44" s="2">
        <f t="shared" si="0"/>
        <v>2.4115980834418398</v>
      </c>
      <c r="E44" s="2">
        <f t="shared" si="1"/>
        <v>1.6209246121741854</v>
      </c>
      <c r="F44" s="5">
        <f t="shared" si="2"/>
        <v>0.48378751321888114</v>
      </c>
      <c r="G44" s="2">
        <f t="shared" si="3"/>
        <v>0</v>
      </c>
    </row>
    <row r="45" spans="1:15" x14ac:dyDescent="0.4">
      <c r="A45" s="1">
        <v>40724</v>
      </c>
      <c r="B45">
        <v>2.4804623793910001</v>
      </c>
      <c r="C45" s="3">
        <f>[1]!i_dq_close("881001.WI",A45)</f>
        <v>2687.1235000000001</v>
      </c>
      <c r="D45" s="2">
        <f t="shared" si="0"/>
        <v>2.4804623793910001</v>
      </c>
      <c r="E45" s="2">
        <f t="shared" si="1"/>
        <v>1.6598881236170038</v>
      </c>
      <c r="F45" s="5">
        <f t="shared" si="2"/>
        <v>0.49049071718471171</v>
      </c>
      <c r="G45" s="2">
        <f t="shared" si="3"/>
        <v>1</v>
      </c>
    </row>
    <row r="46" spans="1:15" x14ac:dyDescent="0.4">
      <c r="A46" s="1">
        <v>40755</v>
      </c>
      <c r="B46">
        <v>2.49432758959514</v>
      </c>
      <c r="C46" s="3">
        <f>[1]!i_dq_close("881001.WI",A46)</f>
        <v>2659.6453000000001</v>
      </c>
      <c r="D46" s="2">
        <f t="shared" si="0"/>
        <v>2.49432758959514</v>
      </c>
      <c r="E46" s="2">
        <f t="shared" si="1"/>
        <v>1.642914308368701</v>
      </c>
      <c r="F46" s="5">
        <f t="shared" si="2"/>
        <v>0.51406379293581717</v>
      </c>
      <c r="G46" s="2">
        <f t="shared" si="3"/>
        <v>1</v>
      </c>
    </row>
    <row r="47" spans="1:15" x14ac:dyDescent="0.4">
      <c r="A47" s="1">
        <v>40786</v>
      </c>
      <c r="B47">
        <v>2.3622638540524101</v>
      </c>
      <c r="C47" s="3">
        <f>[1]!i_dq_close("881001.WI",A47)</f>
        <v>2537.5536999999999</v>
      </c>
      <c r="D47" s="2">
        <f t="shared" si="0"/>
        <v>2.3622638540524101</v>
      </c>
      <c r="E47" s="2">
        <f t="shared" si="1"/>
        <v>1.5674959672193649</v>
      </c>
      <c r="F47" s="5">
        <f t="shared" si="2"/>
        <v>0.50340416771646379</v>
      </c>
      <c r="G47" s="2">
        <f t="shared" si="3"/>
        <v>0</v>
      </c>
    </row>
    <row r="48" spans="1:15" x14ac:dyDescent="0.4">
      <c r="A48" s="1">
        <v>40816</v>
      </c>
      <c r="B48">
        <v>2.0322692858828102</v>
      </c>
      <c r="C48" s="3">
        <f>[1]!i_dq_close("881001.WI",A48)</f>
        <v>2312.2429000000002</v>
      </c>
      <c r="D48" s="2">
        <f t="shared" si="0"/>
        <v>2.0322692858828102</v>
      </c>
      <c r="E48" s="2">
        <f t="shared" si="1"/>
        <v>1.4283171311730702</v>
      </c>
      <c r="F48" s="5">
        <f t="shared" si="2"/>
        <v>0.42687540920553757</v>
      </c>
      <c r="G48" s="2">
        <f t="shared" si="3"/>
        <v>0</v>
      </c>
    </row>
    <row r="49" spans="1:7" x14ac:dyDescent="0.4">
      <c r="A49" s="1">
        <v>40847</v>
      </c>
      <c r="B49">
        <v>2.1400729500037801</v>
      </c>
      <c r="C49" s="3">
        <f>[1]!i_dq_close("881001.WI",A49)</f>
        <v>2411.9854</v>
      </c>
      <c r="D49" s="2">
        <f t="shared" si="0"/>
        <v>2.1400729500037801</v>
      </c>
      <c r="E49" s="2">
        <f t="shared" si="1"/>
        <v>1.4899300012811501</v>
      </c>
      <c r="F49" s="5">
        <f t="shared" si="2"/>
        <v>0.44101469827699624</v>
      </c>
      <c r="G49" s="2">
        <f t="shared" si="3"/>
        <v>1</v>
      </c>
    </row>
    <row r="50" spans="1:7" x14ac:dyDescent="0.4">
      <c r="A50" s="1">
        <v>40877</v>
      </c>
      <c r="B50">
        <v>1.9820800531162299</v>
      </c>
      <c r="C50" s="3">
        <f>[1]!i_dq_close("881001.WI",A50)</f>
        <v>2290.1743000000001</v>
      </c>
      <c r="D50" s="2">
        <f t="shared" si="0"/>
        <v>1.9820800531162299</v>
      </c>
      <c r="E50" s="2">
        <f t="shared" si="1"/>
        <v>1.4146849304034166</v>
      </c>
      <c r="F50" s="5">
        <f t="shared" si="2"/>
        <v>0.40740516353002132</v>
      </c>
      <c r="G50" s="2">
        <f t="shared" si="3"/>
        <v>0</v>
      </c>
    </row>
    <row r="51" spans="1:7" x14ac:dyDescent="0.4">
      <c r="A51" s="1">
        <v>40908</v>
      </c>
      <c r="B51">
        <v>1.6706539180279301</v>
      </c>
      <c r="C51" s="3">
        <f>[1]!i_dq_close("881001.WI",A51)</f>
        <v>2123.8530000000001</v>
      </c>
      <c r="D51" s="2">
        <f t="shared" si="0"/>
        <v>1.6706539180279301</v>
      </c>
      <c r="E51" s="2">
        <f t="shared" si="1"/>
        <v>1.3119450486769009</v>
      </c>
      <c r="F51" s="5">
        <f t="shared" si="2"/>
        <v>0.28848364190279208</v>
      </c>
      <c r="G51" s="2">
        <f t="shared" si="3"/>
        <v>0</v>
      </c>
    </row>
    <row r="52" spans="1:7" x14ac:dyDescent="0.4">
      <c r="A52" s="1">
        <v>40939</v>
      </c>
      <c r="B52">
        <v>1.72776818204136</v>
      </c>
      <c r="C52" s="3">
        <f>[1]!i_dq_close("881001.WI",A52)</f>
        <v>2192.6950999999999</v>
      </c>
      <c r="D52" s="2">
        <f t="shared" si="0"/>
        <v>1.72776818204136</v>
      </c>
      <c r="E52" s="2">
        <f t="shared" si="1"/>
        <v>1.3544701444511942</v>
      </c>
      <c r="F52" s="5">
        <f t="shared" si="2"/>
        <v>0.2907681150126078</v>
      </c>
      <c r="G52" s="2">
        <f t="shared" si="3"/>
        <v>1</v>
      </c>
    </row>
    <row r="53" spans="1:7" x14ac:dyDescent="0.4">
      <c r="A53" s="1">
        <v>40968</v>
      </c>
      <c r="B53">
        <v>1.8550117881831101</v>
      </c>
      <c r="C53" s="3">
        <f>[1]!i_dq_close("881001.WI",A53)</f>
        <v>2348.5729999999999</v>
      </c>
      <c r="D53" s="2">
        <f t="shared" si="0"/>
        <v>1.8550117881831101</v>
      </c>
      <c r="E53" s="2">
        <f t="shared" si="1"/>
        <v>1.4507589361440056</v>
      </c>
      <c r="F53" s="5">
        <f t="shared" si="2"/>
        <v>0.29406807791627565</v>
      </c>
      <c r="G53" s="2">
        <f t="shared" si="3"/>
        <v>1</v>
      </c>
    </row>
    <row r="54" spans="1:7" x14ac:dyDescent="0.4">
      <c r="A54" s="1">
        <v>40999</v>
      </c>
      <c r="B54">
        <v>1.6874393515616899</v>
      </c>
      <c r="C54" s="3">
        <f>[1]!i_dq_close("881001.WI",A54)</f>
        <v>2186.8015</v>
      </c>
      <c r="D54" s="2">
        <f t="shared" si="0"/>
        <v>1.6874393515616899</v>
      </c>
      <c r="E54" s="2">
        <f t="shared" si="1"/>
        <v>1.3508295538176229</v>
      </c>
      <c r="F54" s="5">
        <f t="shared" si="2"/>
        <v>0.26630487172504158</v>
      </c>
      <c r="G54" s="2">
        <f t="shared" si="3"/>
        <v>0</v>
      </c>
    </row>
    <row r="55" spans="1:7" x14ac:dyDescent="0.4">
      <c r="A55" s="1">
        <v>41029</v>
      </c>
      <c r="B55">
        <v>1.8394285723007799</v>
      </c>
      <c r="C55" s="3">
        <f>[1]!i_dq_close("881001.WI",A55)</f>
        <v>2316.0309999999999</v>
      </c>
      <c r="D55" s="2">
        <f t="shared" si="0"/>
        <v>1.8394285723007799</v>
      </c>
      <c r="E55" s="2">
        <f t="shared" si="1"/>
        <v>1.4306571137607977</v>
      </c>
      <c r="F55" s="5">
        <f t="shared" si="2"/>
        <v>0.30552956508130391</v>
      </c>
      <c r="G55" s="2">
        <f t="shared" si="3"/>
        <v>1</v>
      </c>
    </row>
    <row r="56" spans="1:7" x14ac:dyDescent="0.4">
      <c r="A56" s="1">
        <v>41060</v>
      </c>
      <c r="B56">
        <v>1.7373770089454601</v>
      </c>
      <c r="C56" s="3">
        <f>[1]!i_dq_close("881001.WI",A56)</f>
        <v>2315.0502999999999</v>
      </c>
      <c r="D56" s="2">
        <f t="shared" si="0"/>
        <v>1.7373770089454601</v>
      </c>
      <c r="E56" s="2">
        <f t="shared" si="1"/>
        <v>1.4300513164154836</v>
      </c>
      <c r="F56" s="5">
        <f t="shared" si="2"/>
        <v>0.23365155119592207</v>
      </c>
      <c r="G56" s="2">
        <f t="shared" si="3"/>
        <v>0</v>
      </c>
    </row>
    <row r="57" spans="1:7" x14ac:dyDescent="0.4">
      <c r="A57" s="1">
        <v>41090</v>
      </c>
      <c r="B57">
        <v>1.51703314517099</v>
      </c>
      <c r="C57" s="3">
        <f>[1]!i_dq_close("881001.WI",A57)</f>
        <v>2197.4744000000001</v>
      </c>
      <c r="D57" s="2">
        <f t="shared" si="0"/>
        <v>1.51703314517099</v>
      </c>
      <c r="E57" s="2">
        <f t="shared" si="1"/>
        <v>1.3574224104371835</v>
      </c>
      <c r="F57" s="5">
        <f t="shared" si="2"/>
        <v>0.1398471945747608</v>
      </c>
      <c r="G57" s="2">
        <f t="shared" si="3"/>
        <v>0</v>
      </c>
    </row>
    <row r="58" spans="1:7" x14ac:dyDescent="0.4">
      <c r="A58" s="1">
        <v>41121</v>
      </c>
      <c r="B58">
        <v>1.51232717206692</v>
      </c>
      <c r="C58" s="3">
        <f>[1]!i_dq_close("881001.WI",A58)</f>
        <v>2075.7489999999998</v>
      </c>
      <c r="D58" s="2">
        <f t="shared" si="0"/>
        <v>1.51232717206692</v>
      </c>
      <c r="E58" s="2">
        <f t="shared" si="1"/>
        <v>1.2822302781058896</v>
      </c>
      <c r="F58" s="5">
        <f t="shared" si="2"/>
        <v>0.19945120521066029</v>
      </c>
      <c r="G58" s="2">
        <f t="shared" si="3"/>
        <v>1</v>
      </c>
    </row>
    <row r="59" spans="1:7" x14ac:dyDescent="0.4">
      <c r="A59" s="1">
        <v>41152</v>
      </c>
      <c r="B59">
        <v>1.5802507888283699</v>
      </c>
      <c r="C59" s="3">
        <f>[1]!i_dq_close("881001.WI",A59)</f>
        <v>2025.5630000000001</v>
      </c>
      <c r="D59" s="2">
        <f t="shared" si="0"/>
        <v>1.5802507888283699</v>
      </c>
      <c r="E59" s="2">
        <f t="shared" si="1"/>
        <v>1.2512294158932513</v>
      </c>
      <c r="F59" s="5">
        <f t="shared" si="2"/>
        <v>0.28232201514972477</v>
      </c>
      <c r="G59" s="2">
        <f t="shared" si="3"/>
        <v>1</v>
      </c>
    </row>
    <row r="60" spans="1:7" x14ac:dyDescent="0.4">
      <c r="A60" s="1">
        <v>41182</v>
      </c>
      <c r="B60">
        <v>1.7092180805522901</v>
      </c>
      <c r="C60" s="3">
        <f>[1]!i_dq_close("881001.WI",A60)</f>
        <v>2073.98</v>
      </c>
      <c r="D60" s="2">
        <f t="shared" si="0"/>
        <v>1.7092180805522901</v>
      </c>
      <c r="E60" s="2">
        <f t="shared" si="1"/>
        <v>1.2811375326140364</v>
      </c>
      <c r="F60" s="5">
        <f t="shared" si="2"/>
        <v>0.35632344674773408</v>
      </c>
      <c r="G60" s="2">
        <f t="shared" si="3"/>
        <v>1</v>
      </c>
    </row>
    <row r="61" spans="1:7" x14ac:dyDescent="0.4">
      <c r="A61" s="1">
        <v>41213</v>
      </c>
      <c r="B61">
        <v>1.7068369861682899</v>
      </c>
      <c r="C61" s="3">
        <f>[1]!i_dq_close("881001.WI",A61)</f>
        <v>2055.02</v>
      </c>
      <c r="D61" s="2">
        <f t="shared" si="0"/>
        <v>1.7068369861682899</v>
      </c>
      <c r="E61" s="2">
        <f t="shared" si="1"/>
        <v>1.2694255741484957</v>
      </c>
      <c r="F61" s="5">
        <f t="shared" si="2"/>
        <v>0.36683326260612636</v>
      </c>
      <c r="G61" s="2">
        <f t="shared" si="3"/>
        <v>1</v>
      </c>
    </row>
    <row r="62" spans="1:7" x14ac:dyDescent="0.4">
      <c r="A62" s="1">
        <v>41243</v>
      </c>
      <c r="B62">
        <v>1.4834292885936999</v>
      </c>
      <c r="C62" s="3">
        <f>[1]!i_dq_close("881001.WI",A62)</f>
        <v>1932.54</v>
      </c>
      <c r="D62" s="2">
        <f t="shared" si="0"/>
        <v>1.4834292885936999</v>
      </c>
      <c r="E62" s="2">
        <f t="shared" si="1"/>
        <v>1.1937673108120279</v>
      </c>
      <c r="F62" s="5">
        <f t="shared" si="2"/>
        <v>0.26939241332346309</v>
      </c>
      <c r="G62" s="2">
        <f t="shared" si="3"/>
        <v>0</v>
      </c>
    </row>
    <row r="63" spans="1:7" x14ac:dyDescent="0.4">
      <c r="A63" s="1">
        <v>41274</v>
      </c>
      <c r="B63">
        <v>1.7495008162888701</v>
      </c>
      <c r="C63" s="3">
        <f>[1]!i_dq_close("881001.WI",A63)</f>
        <v>2223.2399999999998</v>
      </c>
      <c r="D63" s="2">
        <f t="shared" si="0"/>
        <v>1.7495008162888701</v>
      </c>
      <c r="E63" s="2">
        <f t="shared" si="1"/>
        <v>1.3733383195637516</v>
      </c>
      <c r="F63" s="5">
        <f t="shared" si="2"/>
        <v>0.30612693672021996</v>
      </c>
      <c r="G63" s="2">
        <f t="shared" si="3"/>
        <v>1</v>
      </c>
    </row>
    <row r="64" spans="1:7" x14ac:dyDescent="0.4">
      <c r="A64" s="1">
        <v>41305</v>
      </c>
      <c r="B64">
        <v>2.03652234676394</v>
      </c>
      <c r="C64" s="3">
        <f>[1]!i_dq_close("881001.WI",A64)</f>
        <v>2336.44</v>
      </c>
      <c r="D64" s="2">
        <f t="shared" si="0"/>
        <v>2.03652234676394</v>
      </c>
      <c r="E64" s="2">
        <f t="shared" si="1"/>
        <v>1.4432641475331194</v>
      </c>
      <c r="F64" s="5">
        <f t="shared" si="2"/>
        <v>0.45390529978361571</v>
      </c>
      <c r="G64" s="2">
        <f t="shared" si="3"/>
        <v>1</v>
      </c>
    </row>
    <row r="65" spans="1:7" x14ac:dyDescent="0.4">
      <c r="A65" s="1">
        <v>41333</v>
      </c>
      <c r="B65">
        <v>2.1633826820875601</v>
      </c>
      <c r="C65" s="3">
        <f>[1]!i_dq_close("881001.WI",A65)</f>
        <v>2366.067</v>
      </c>
      <c r="D65" s="2">
        <f t="shared" si="0"/>
        <v>2.1633826820875601</v>
      </c>
      <c r="E65" s="2">
        <f t="shared" si="1"/>
        <v>1.4615653180741834</v>
      </c>
      <c r="F65" s="5">
        <f t="shared" si="2"/>
        <v>0.52603678167647905</v>
      </c>
      <c r="G65" s="2">
        <f t="shared" si="3"/>
        <v>1</v>
      </c>
    </row>
    <row r="66" spans="1:7" x14ac:dyDescent="0.4">
      <c r="A66" s="1">
        <v>41364</v>
      </c>
      <c r="B66">
        <v>2.1983456699731398</v>
      </c>
      <c r="C66" s="3">
        <f>[1]!i_dq_close("881001.WI",A66)</f>
        <v>2239.2658000000001</v>
      </c>
      <c r="D66" s="2">
        <f t="shared" si="0"/>
        <v>2.1983456699731398</v>
      </c>
      <c r="E66" s="2">
        <f t="shared" si="1"/>
        <v>1.3832377659760442</v>
      </c>
      <c r="F66" s="5">
        <f t="shared" si="2"/>
        <v>0.63248213519954533</v>
      </c>
      <c r="G66" s="2">
        <f t="shared" si="3"/>
        <v>1</v>
      </c>
    </row>
    <row r="67" spans="1:7" x14ac:dyDescent="0.4">
      <c r="A67" s="1">
        <v>41394</v>
      </c>
      <c r="B67">
        <v>2.1612337701017399</v>
      </c>
      <c r="C67" s="3">
        <f>[1]!i_dq_close("881001.WI",A67)</f>
        <v>2192.4872999999998</v>
      </c>
      <c r="D67" s="2">
        <f t="shared" si="0"/>
        <v>2.1612337701017399</v>
      </c>
      <c r="E67" s="2">
        <f t="shared" si="1"/>
        <v>1.3543417823747625</v>
      </c>
      <c r="F67" s="5">
        <f t="shared" si="2"/>
        <v>0.63902572125939572</v>
      </c>
      <c r="G67" s="2">
        <f t="shared" si="3"/>
        <v>1</v>
      </c>
    </row>
    <row r="68" spans="1:7" x14ac:dyDescent="0.4">
      <c r="A68" s="1">
        <v>41425</v>
      </c>
      <c r="B68">
        <v>2.4439523755456101</v>
      </c>
      <c r="C68" s="3">
        <f>[1]!i_dq_close("881001.WI",A68)</f>
        <v>2407.3069999999998</v>
      </c>
      <c r="D68" s="2">
        <f t="shared" si="0"/>
        <v>2.4439523755456101</v>
      </c>
      <c r="E68" s="2">
        <f t="shared" si="1"/>
        <v>1.4870400631753911</v>
      </c>
      <c r="F68" s="5">
        <f t="shared" si="2"/>
        <v>0.69284086519464272</v>
      </c>
      <c r="G68" s="2">
        <f t="shared" si="3"/>
        <v>1</v>
      </c>
    </row>
    <row r="69" spans="1:7" x14ac:dyDescent="0.4">
      <c r="A69" s="1">
        <v>41455</v>
      </c>
      <c r="B69">
        <v>2.0783330408395599</v>
      </c>
      <c r="C69" s="3">
        <f>[1]!i_dq_close("881001.WI",A69)</f>
        <v>2046.2654</v>
      </c>
      <c r="D69" s="2">
        <f t="shared" si="0"/>
        <v>2.0783330408395599</v>
      </c>
      <c r="E69" s="2">
        <f t="shared" si="1"/>
        <v>1.2640176885165113</v>
      </c>
      <c r="F69" s="5">
        <f t="shared" si="2"/>
        <v>0.69347690003698914</v>
      </c>
      <c r="G69" s="2">
        <f t="shared" si="3"/>
        <v>1</v>
      </c>
    </row>
    <row r="70" spans="1:7" x14ac:dyDescent="0.4">
      <c r="A70" s="1">
        <v>41486</v>
      </c>
      <c r="B70">
        <v>2.1111360751440702</v>
      </c>
      <c r="C70" s="3">
        <f>[1]!i_dq_close("881001.WI",A70)</f>
        <v>2123.2617</v>
      </c>
      <c r="D70" s="2">
        <f t="shared" si="0"/>
        <v>2.1111360751440702</v>
      </c>
      <c r="E70" s="2">
        <f t="shared" si="1"/>
        <v>1.3115797912380467</v>
      </c>
      <c r="F70" s="5">
        <f t="shared" si="2"/>
        <v>0.65648394615668204</v>
      </c>
      <c r="G70" s="2">
        <f t="shared" si="3"/>
        <v>0</v>
      </c>
    </row>
    <row r="71" spans="1:7" x14ac:dyDescent="0.4">
      <c r="A71" s="1">
        <v>41517</v>
      </c>
      <c r="B71">
        <v>2.2863358760280001</v>
      </c>
      <c r="C71" s="3">
        <f>[1]!i_dq_close("881001.WI",A71)</f>
        <v>2263.4411</v>
      </c>
      <c r="D71" s="2">
        <f t="shared" si="0"/>
        <v>2.2863358760280001</v>
      </c>
      <c r="E71" s="2">
        <f t="shared" si="1"/>
        <v>1.3981713160547355</v>
      </c>
      <c r="F71" s="5">
        <f t="shared" si="2"/>
        <v>0.68459052800555154</v>
      </c>
      <c r="G71" s="2">
        <f t="shared" si="3"/>
        <v>1</v>
      </c>
    </row>
    <row r="72" spans="1:7" x14ac:dyDescent="0.4">
      <c r="A72" s="1">
        <v>41547</v>
      </c>
      <c r="B72">
        <v>2.5975079961846301</v>
      </c>
      <c r="C72" s="3">
        <f>[1]!i_dq_close("881001.WI",A72)</f>
        <v>2385.7764000000002</v>
      </c>
      <c r="D72" s="2">
        <f t="shared" si="0"/>
        <v>2.5975079961846301</v>
      </c>
      <c r="E72" s="2">
        <f t="shared" si="1"/>
        <v>1.4737401954043907</v>
      </c>
      <c r="F72" s="5">
        <f t="shared" si="2"/>
        <v>0.82281525996200999</v>
      </c>
      <c r="G72" s="2">
        <f t="shared" si="3"/>
        <v>1</v>
      </c>
    </row>
    <row r="73" spans="1:7" x14ac:dyDescent="0.4">
      <c r="A73" s="1">
        <v>41578</v>
      </c>
      <c r="B73">
        <v>2.3503580053276498</v>
      </c>
      <c r="C73" s="3">
        <f>[1]!i_dq_close("881001.WI",A73)</f>
        <v>2318.8737000000001</v>
      </c>
      <c r="D73" s="2">
        <f t="shared" si="0"/>
        <v>2.3503580053276498</v>
      </c>
      <c r="E73" s="2">
        <f t="shared" si="1"/>
        <v>1.432413104495502</v>
      </c>
      <c r="F73" s="5">
        <f t="shared" si="2"/>
        <v>0.70049238434848005</v>
      </c>
      <c r="G73" s="2">
        <f t="shared" si="3"/>
        <v>0</v>
      </c>
    </row>
    <row r="74" spans="1:7" x14ac:dyDescent="0.4">
      <c r="A74" s="1">
        <v>41608</v>
      </c>
      <c r="B74">
        <v>2.5122798998971998</v>
      </c>
      <c r="C74" s="3">
        <f>[1]!i_dq_close("881001.WI",A74)</f>
        <v>2440.4994000000002</v>
      </c>
      <c r="D74" s="2">
        <f t="shared" si="0"/>
        <v>2.5122798998971998</v>
      </c>
      <c r="E74" s="2">
        <f t="shared" si="1"/>
        <v>1.5075436502097592</v>
      </c>
      <c r="F74" s="5">
        <f t="shared" si="2"/>
        <v>0.72845205805354118</v>
      </c>
      <c r="G74" s="2">
        <f t="shared" si="3"/>
        <v>1</v>
      </c>
    </row>
    <row r="75" spans="1:7" x14ac:dyDescent="0.4">
      <c r="A75" s="1">
        <v>41639</v>
      </c>
      <c r="B75">
        <v>2.4667423414303902</v>
      </c>
      <c r="C75" s="3">
        <f>[1]!i_dq_close("881001.WI",A75)</f>
        <v>2344.1970000000001</v>
      </c>
      <c r="D75" s="2">
        <f t="shared" si="0"/>
        <v>2.4667423414303902</v>
      </c>
      <c r="E75" s="2">
        <f t="shared" si="1"/>
        <v>1.4480557963631406</v>
      </c>
      <c r="F75" s="5">
        <f t="shared" si="2"/>
        <v>0.76532708082743661</v>
      </c>
      <c r="G75" s="2">
        <f t="shared" si="3"/>
        <v>1</v>
      </c>
    </row>
    <row r="76" spans="1:7" x14ac:dyDescent="0.4">
      <c r="A76" s="1">
        <v>41670</v>
      </c>
      <c r="B76">
        <v>2.3276430379994499</v>
      </c>
      <c r="C76" s="3">
        <f>[1]!i_dq_close("881001.WI",A76)</f>
        <v>2316.1152999999999</v>
      </c>
      <c r="D76" s="2">
        <f t="shared" si="0"/>
        <v>2.3276430379994499</v>
      </c>
      <c r="E76" s="2">
        <f t="shared" si="1"/>
        <v>1.4307091875001776</v>
      </c>
      <c r="F76" s="5">
        <f t="shared" si="2"/>
        <v>0.68692777736447597</v>
      </c>
      <c r="G76" s="2">
        <f t="shared" si="3"/>
        <v>0</v>
      </c>
    </row>
    <row r="77" spans="1:7" x14ac:dyDescent="0.4">
      <c r="A77" s="1">
        <v>41698</v>
      </c>
      <c r="B77">
        <v>2.4133940128370899</v>
      </c>
      <c r="C77" s="3">
        <f>[1]!i_dq_close("881001.WI",A77)</f>
        <v>2336.2127</v>
      </c>
      <c r="D77" s="2">
        <f t="shared" si="0"/>
        <v>2.4133940128370899</v>
      </c>
      <c r="E77" s="2">
        <f t="shared" si="1"/>
        <v>1.4431237399297852</v>
      </c>
      <c r="F77" s="5">
        <f t="shared" si="2"/>
        <v>0.73443682252307352</v>
      </c>
      <c r="G77" s="2">
        <f t="shared" si="3"/>
        <v>1</v>
      </c>
    </row>
    <row r="78" spans="1:7" x14ac:dyDescent="0.4">
      <c r="A78" s="1">
        <v>41729</v>
      </c>
      <c r="B78">
        <v>2.3004025303672502</v>
      </c>
      <c r="C78" s="3">
        <f>[1]!i_dq_close("881001.WI",A78)</f>
        <v>2270.9917</v>
      </c>
      <c r="D78" s="2">
        <f t="shared" si="0"/>
        <v>2.3004025303672502</v>
      </c>
      <c r="E78" s="2">
        <f t="shared" si="1"/>
        <v>1.4028354676153849</v>
      </c>
      <c r="F78" s="5">
        <f t="shared" si="2"/>
        <v>0.70165407393526102</v>
      </c>
      <c r="G78" s="2">
        <f t="shared" si="3"/>
        <v>0</v>
      </c>
    </row>
    <row r="79" spans="1:7" x14ac:dyDescent="0.4">
      <c r="A79" s="1">
        <v>41759</v>
      </c>
      <c r="B79">
        <v>2.3172877054083298</v>
      </c>
      <c r="C79" s="3">
        <f>[1]!i_dq_close("881001.WI",A79)</f>
        <v>2253.5585000000001</v>
      </c>
      <c r="D79" s="2">
        <f t="shared" si="0"/>
        <v>2.3172877054083298</v>
      </c>
      <c r="E79" s="2">
        <f t="shared" si="1"/>
        <v>1.392066643020371</v>
      </c>
      <c r="F79" s="5">
        <f t="shared" si="2"/>
        <v>0.72720707462992706</v>
      </c>
      <c r="G79" s="2">
        <f t="shared" si="3"/>
        <v>1</v>
      </c>
    </row>
    <row r="80" spans="1:7" x14ac:dyDescent="0.4">
      <c r="A80" s="1">
        <v>41790</v>
      </c>
      <c r="B80">
        <v>2.3426719585005999</v>
      </c>
      <c r="C80" s="3">
        <f>[1]!i_dq_close("881001.WI",A80)</f>
        <v>2287.1972000000001</v>
      </c>
      <c r="D80" s="2">
        <f t="shared" si="0"/>
        <v>2.3426719585005999</v>
      </c>
      <c r="E80" s="2">
        <f t="shared" si="1"/>
        <v>1.4128459181909818</v>
      </c>
      <c r="F80" s="5">
        <f t="shared" si="2"/>
        <v>0.72034551897800769</v>
      </c>
      <c r="G80" s="2">
        <f t="shared" si="3"/>
        <v>0</v>
      </c>
    </row>
    <row r="81" spans="1:7" x14ac:dyDescent="0.4">
      <c r="A81" s="1">
        <v>41820</v>
      </c>
      <c r="B81">
        <v>2.41456219214201</v>
      </c>
      <c r="C81" s="3">
        <f>[1]!i_dq_close("881001.WI",A81)</f>
        <v>2357.6363000000001</v>
      </c>
      <c r="D81" s="2">
        <f t="shared" si="0"/>
        <v>2.41456219214201</v>
      </c>
      <c r="E81" s="2">
        <f t="shared" si="1"/>
        <v>1.4563575117326522</v>
      </c>
      <c r="F81" s="5">
        <f t="shared" si="2"/>
        <v>0.72015654859671696</v>
      </c>
      <c r="G81" s="2">
        <f t="shared" si="3"/>
        <v>0</v>
      </c>
    </row>
    <row r="82" spans="1:7" x14ac:dyDescent="0.4">
      <c r="A82" s="1">
        <v>41851</v>
      </c>
      <c r="B82">
        <v>2.6566080534399399</v>
      </c>
      <c r="C82" s="3">
        <f>[1]!i_dq_close("881001.WI",A82)</f>
        <v>2559.7215999999999</v>
      </c>
      <c r="D82" s="2">
        <f t="shared" ref="D82:D145" si="5">B82/B$16</f>
        <v>2.6566080534399399</v>
      </c>
      <c r="E82" s="2">
        <f t="shared" ref="E82:E145" si="6">C82/C$16</f>
        <v>1.5811895075183238</v>
      </c>
      <c r="F82" s="5">
        <f t="shared" ref="F82:F145" si="7">(F81+1)*(B82/B81-C82/C81+1)-1</f>
        <v>0.74514868327271611</v>
      </c>
      <c r="G82" s="2">
        <f t="shared" ref="G82:G145" si="8">IF(F82&gt;F81,1,0)</f>
        <v>1</v>
      </c>
    </row>
    <row r="83" spans="1:7" x14ac:dyDescent="0.4">
      <c r="A83" s="1">
        <v>41882</v>
      </c>
      <c r="B83">
        <v>2.7478719230625499</v>
      </c>
      <c r="C83" s="3">
        <f>[1]!i_dq_close("881001.WI",A83)</f>
        <v>2632.1693</v>
      </c>
      <c r="D83" s="2">
        <f t="shared" si="5"/>
        <v>2.7478719230625499</v>
      </c>
      <c r="E83" s="2">
        <f t="shared" si="6"/>
        <v>1.6259418521029205</v>
      </c>
      <c r="F83" s="5">
        <f t="shared" si="7"/>
        <v>0.75570782960584482</v>
      </c>
      <c r="G83" s="2">
        <f t="shared" si="8"/>
        <v>1</v>
      </c>
    </row>
    <row r="84" spans="1:7" x14ac:dyDescent="0.4">
      <c r="A84" s="1">
        <v>41912</v>
      </c>
      <c r="B84">
        <v>3.18712600400581</v>
      </c>
      <c r="C84" s="3">
        <f>[1]!i_dq_close("881001.WI",A84)</f>
        <v>2886.9229999999998</v>
      </c>
      <c r="D84" s="2">
        <f t="shared" si="5"/>
        <v>3.18712600400581</v>
      </c>
      <c r="E84" s="2">
        <f t="shared" si="6"/>
        <v>1.7833081365619299</v>
      </c>
      <c r="F84" s="5">
        <f t="shared" si="7"/>
        <v>0.86643639668225703</v>
      </c>
      <c r="G84" s="2">
        <f t="shared" si="8"/>
        <v>1</v>
      </c>
    </row>
    <row r="85" spans="1:7" x14ac:dyDescent="0.4">
      <c r="A85" s="1">
        <v>41943</v>
      </c>
      <c r="B85">
        <v>3.2312023370355698</v>
      </c>
      <c r="C85" s="3">
        <f>[1]!i_dq_close("881001.WI",A85)</f>
        <v>2946.7975000000001</v>
      </c>
      <c r="D85" s="2">
        <f t="shared" si="5"/>
        <v>3.2312023370355698</v>
      </c>
      <c r="E85" s="2">
        <f t="shared" si="6"/>
        <v>1.8202937724873003</v>
      </c>
      <c r="F85" s="5">
        <f t="shared" si="7"/>
        <v>0.85353855568838033</v>
      </c>
      <c r="G85" s="2">
        <f t="shared" si="8"/>
        <v>0</v>
      </c>
    </row>
    <row r="86" spans="1:7" x14ac:dyDescent="0.4">
      <c r="A86" s="1">
        <v>41973</v>
      </c>
      <c r="B86">
        <v>3.3226036662532601</v>
      </c>
      <c r="C86" s="3">
        <f>[1]!i_dq_close("881001.WI",A86)</f>
        <v>3212.4722999999999</v>
      </c>
      <c r="D86" s="2">
        <f t="shared" si="5"/>
        <v>3.3226036662532601</v>
      </c>
      <c r="E86" s="2">
        <f t="shared" si="6"/>
        <v>1.984406231503167</v>
      </c>
      <c r="F86" s="5">
        <f t="shared" si="7"/>
        <v>0.73886006470366872</v>
      </c>
      <c r="G86" s="2">
        <f t="shared" si="8"/>
        <v>0</v>
      </c>
    </row>
    <row r="87" spans="1:7" x14ac:dyDescent="0.4">
      <c r="A87" s="1">
        <v>42004</v>
      </c>
      <c r="B87">
        <v>3.6494634948379501</v>
      </c>
      <c r="C87" s="3">
        <f>[1]!i_dq_close("881001.WI",A87)</f>
        <v>3573.4819000000002</v>
      </c>
      <c r="D87" s="2">
        <f t="shared" si="5"/>
        <v>3.6494634948379501</v>
      </c>
      <c r="E87" s="2">
        <f t="shared" si="6"/>
        <v>2.20740883914354</v>
      </c>
      <c r="F87" s="5">
        <f t="shared" si="7"/>
        <v>0.71451099578536614</v>
      </c>
      <c r="G87" s="2">
        <f t="shared" si="8"/>
        <v>0</v>
      </c>
    </row>
    <row r="88" spans="1:7" x14ac:dyDescent="0.4">
      <c r="A88" s="1">
        <v>42035</v>
      </c>
      <c r="B88">
        <v>3.9436647012774699</v>
      </c>
      <c r="C88" s="3">
        <f>[1]!i_dq_close("881001.WI",A88)</f>
        <v>3643.7429000000002</v>
      </c>
      <c r="D88" s="2">
        <f t="shared" si="5"/>
        <v>3.9436647012774699</v>
      </c>
      <c r="E88" s="2">
        <f t="shared" si="6"/>
        <v>2.2508104168728309</v>
      </c>
      <c r="F88" s="5">
        <f t="shared" si="7"/>
        <v>0.81901583113424725</v>
      </c>
      <c r="G88" s="2">
        <f t="shared" si="8"/>
        <v>1</v>
      </c>
    </row>
    <row r="89" spans="1:7" x14ac:dyDescent="0.4">
      <c r="A89" s="1">
        <v>42063</v>
      </c>
      <c r="B89">
        <v>4.1316323022563299</v>
      </c>
      <c r="C89" s="3">
        <f>[1]!i_dq_close("881001.WI",A89)</f>
        <v>3871.5947000000001</v>
      </c>
      <c r="D89" s="2">
        <f t="shared" si="5"/>
        <v>4.1316323022563299</v>
      </c>
      <c r="E89" s="2">
        <f t="shared" si="6"/>
        <v>2.3915588777324661</v>
      </c>
      <c r="F89" s="5">
        <f t="shared" si="7"/>
        <v>0.79196857888306682</v>
      </c>
      <c r="G89" s="2">
        <f t="shared" si="8"/>
        <v>0</v>
      </c>
    </row>
    <row r="90" spans="1:7" x14ac:dyDescent="0.4">
      <c r="A90" s="1">
        <v>42094</v>
      </c>
      <c r="B90">
        <v>4.9956403006129202</v>
      </c>
      <c r="C90" s="3">
        <f>[1]!i_dq_close("881001.WI",A90)</f>
        <v>4598.7377999999999</v>
      </c>
      <c r="D90" s="2">
        <f t="shared" si="5"/>
        <v>4.9956403006129202</v>
      </c>
      <c r="E90" s="2">
        <f t="shared" si="6"/>
        <v>2.8407292250797509</v>
      </c>
      <c r="F90" s="5">
        <f t="shared" si="7"/>
        <v>0.83014713768314063</v>
      </c>
      <c r="G90" s="2">
        <f t="shared" si="8"/>
        <v>1</v>
      </c>
    </row>
    <row r="91" spans="1:7" x14ac:dyDescent="0.4">
      <c r="A91" s="1">
        <v>42124</v>
      </c>
      <c r="B91">
        <v>5.8526497763450003</v>
      </c>
      <c r="C91" s="3">
        <f>[1]!i_dq_close("881001.WI",A91)</f>
        <v>5470.8307999999997</v>
      </c>
      <c r="D91" s="2">
        <f t="shared" si="5"/>
        <v>5.8526497763450003</v>
      </c>
      <c r="E91" s="2">
        <f t="shared" si="6"/>
        <v>3.379437927299624</v>
      </c>
      <c r="F91" s="5">
        <f t="shared" si="7"/>
        <v>0.79704711131225614</v>
      </c>
      <c r="G91" s="2">
        <f t="shared" si="8"/>
        <v>0</v>
      </c>
    </row>
    <row r="92" spans="1:7" x14ac:dyDescent="0.4">
      <c r="A92" s="1">
        <v>42155</v>
      </c>
      <c r="B92">
        <v>7.6446047235155703</v>
      </c>
      <c r="C92" s="3">
        <f>[1]!i_dq_close("881001.WI",A92)</f>
        <v>6293.9138999999996</v>
      </c>
      <c r="D92" s="2">
        <f t="shared" si="5"/>
        <v>7.6446047235155703</v>
      </c>
      <c r="E92" s="2">
        <f t="shared" si="6"/>
        <v>3.8878722670089325</v>
      </c>
      <c r="F92" s="5">
        <f t="shared" si="7"/>
        <v>1.0768994983766351</v>
      </c>
      <c r="G92" s="2">
        <f t="shared" si="8"/>
        <v>1</v>
      </c>
    </row>
    <row r="93" spans="1:7" x14ac:dyDescent="0.4">
      <c r="A93" s="1">
        <v>42185</v>
      </c>
      <c r="B93">
        <v>6.49835050058722</v>
      </c>
      <c r="C93" s="3">
        <f>[1]!i_dq_close("881001.WI",A93)</f>
        <v>5631.7365</v>
      </c>
      <c r="D93" s="2">
        <f t="shared" si="5"/>
        <v>6.49835050058722</v>
      </c>
      <c r="E93" s="2">
        <f t="shared" si="6"/>
        <v>3.4788324882315202</v>
      </c>
      <c r="F93" s="5">
        <f t="shared" si="7"/>
        <v>0.98399201221953803</v>
      </c>
      <c r="G93" s="2">
        <f t="shared" si="8"/>
        <v>0</v>
      </c>
    </row>
    <row r="94" spans="1:7" x14ac:dyDescent="0.4">
      <c r="A94" s="1">
        <v>42216</v>
      </c>
      <c r="B94">
        <v>5.4725494088000701</v>
      </c>
      <c r="C94" s="3">
        <f>[1]!i_dq_close("881001.WI",A94)</f>
        <v>4743.5065999999997</v>
      </c>
      <c r="D94" s="2">
        <f t="shared" si="5"/>
        <v>5.4725494088000701</v>
      </c>
      <c r="E94" s="2">
        <f t="shared" si="6"/>
        <v>2.9301557109819747</v>
      </c>
      <c r="F94" s="5">
        <f t="shared" si="7"/>
        <v>0.98372028953903512</v>
      </c>
      <c r="G94" s="2">
        <f t="shared" si="8"/>
        <v>0</v>
      </c>
    </row>
    <row r="95" spans="1:7" x14ac:dyDescent="0.4">
      <c r="A95" s="1">
        <v>42247</v>
      </c>
      <c r="B95">
        <v>4.7929062236719497</v>
      </c>
      <c r="C95" s="3">
        <f>[1]!i_dq_close("881001.WI",A95)</f>
        <v>4015.5468000000001</v>
      </c>
      <c r="D95" s="2">
        <f t="shared" si="5"/>
        <v>4.7929062236719497</v>
      </c>
      <c r="E95" s="2">
        <f t="shared" si="6"/>
        <v>2.4804808722592258</v>
      </c>
      <c r="F95" s="5">
        <f t="shared" si="7"/>
        <v>1.0417900437222496</v>
      </c>
      <c r="G95" s="2">
        <f t="shared" si="8"/>
        <v>1</v>
      </c>
    </row>
    <row r="96" spans="1:7" x14ac:dyDescent="0.4">
      <c r="A96" s="1">
        <v>42277</v>
      </c>
      <c r="B96">
        <v>4.2307426505122496</v>
      </c>
      <c r="C96" s="3">
        <f>[1]!i_dq_close("881001.WI",A96)</f>
        <v>3777.8516</v>
      </c>
      <c r="D96" s="2">
        <f t="shared" si="5"/>
        <v>4.2307426505122496</v>
      </c>
      <c r="E96" s="2">
        <f t="shared" si="6"/>
        <v>2.3336519529628972</v>
      </c>
      <c r="F96" s="5">
        <f t="shared" si="7"/>
        <v>0.92316812703675999</v>
      </c>
      <c r="G96" s="2">
        <f t="shared" si="8"/>
        <v>0</v>
      </c>
    </row>
    <row r="97" spans="1:7" x14ac:dyDescent="0.4">
      <c r="A97" s="1">
        <v>42308</v>
      </c>
      <c r="B97">
        <v>4.9002071430036596</v>
      </c>
      <c r="C97" s="3">
        <f>[1]!i_dq_close("881001.WI",A97)</f>
        <v>4423.9261999999999</v>
      </c>
      <c r="D97" s="2">
        <f t="shared" si="5"/>
        <v>4.9002071430036596</v>
      </c>
      <c r="E97" s="2">
        <f t="shared" si="6"/>
        <v>2.732744720939734</v>
      </c>
      <c r="F97" s="5">
        <f t="shared" si="7"/>
        <v>0.89859321316211171</v>
      </c>
      <c r="G97" s="2">
        <f t="shared" si="8"/>
        <v>0</v>
      </c>
    </row>
    <row r="98" spans="1:7" x14ac:dyDescent="0.4">
      <c r="A98" s="1">
        <v>42338</v>
      </c>
      <c r="B98">
        <v>5.2505374982475397</v>
      </c>
      <c r="C98" s="3">
        <f>[1]!i_dq_close("881001.WI",A98)</f>
        <v>4698.5424000000003</v>
      </c>
      <c r="D98" s="2">
        <f t="shared" si="5"/>
        <v>5.2505374982475397</v>
      </c>
      <c r="E98" s="2">
        <f t="shared" si="6"/>
        <v>2.9023804555581214</v>
      </c>
      <c r="F98" s="5">
        <f t="shared" si="7"/>
        <v>0.91647368329559353</v>
      </c>
      <c r="G98" s="2">
        <f t="shared" si="8"/>
        <v>1</v>
      </c>
    </row>
    <row r="99" spans="1:7" x14ac:dyDescent="0.4">
      <c r="A99" s="1">
        <v>42369</v>
      </c>
      <c r="B99">
        <v>5.6430242464681504</v>
      </c>
      <c r="C99" s="3">
        <f>[1]!i_dq_close("881001.WI",A99)</f>
        <v>4949.1953000000003</v>
      </c>
      <c r="D99" s="2">
        <f t="shared" si="5"/>
        <v>5.6430242464681504</v>
      </c>
      <c r="E99" s="2">
        <f t="shared" si="6"/>
        <v>3.0572135965954281</v>
      </c>
      <c r="F99" s="5">
        <f t="shared" si="7"/>
        <v>0.95749537868848789</v>
      </c>
      <c r="G99" s="2">
        <f t="shared" si="8"/>
        <v>1</v>
      </c>
    </row>
    <row r="100" spans="1:7" x14ac:dyDescent="0.4">
      <c r="A100" s="1">
        <v>42400</v>
      </c>
      <c r="B100">
        <v>3.9563781347920002</v>
      </c>
      <c r="C100" s="3">
        <f>[1]!i_dq_close("881001.WI",A100)</f>
        <v>3585.3366000000001</v>
      </c>
      <c r="D100" s="2">
        <f t="shared" si="5"/>
        <v>3.9563781347920002</v>
      </c>
      <c r="E100" s="2">
        <f t="shared" si="6"/>
        <v>2.2147317164653462</v>
      </c>
      <c r="F100" s="5">
        <f t="shared" si="7"/>
        <v>0.91184922675730395</v>
      </c>
      <c r="G100" s="2">
        <f t="shared" si="8"/>
        <v>0</v>
      </c>
    </row>
    <row r="101" spans="1:7" x14ac:dyDescent="0.4">
      <c r="A101" s="1">
        <v>42429</v>
      </c>
      <c r="B101">
        <v>3.7278710861427502</v>
      </c>
      <c r="C101" s="3">
        <f>[1]!i_dq_close("881001.WI",A101)</f>
        <v>3489.0275999999999</v>
      </c>
      <c r="D101" s="2">
        <f t="shared" si="5"/>
        <v>3.7278710861427502</v>
      </c>
      <c r="E101" s="2">
        <f t="shared" si="6"/>
        <v>2.15523978567116</v>
      </c>
      <c r="F101" s="5">
        <f t="shared" si="7"/>
        <v>0.8527831954286762</v>
      </c>
      <c r="G101" s="2">
        <f t="shared" si="8"/>
        <v>0</v>
      </c>
    </row>
    <row r="102" spans="1:7" x14ac:dyDescent="0.4">
      <c r="A102" s="1">
        <v>42460</v>
      </c>
      <c r="B102">
        <v>4.5034138789006599</v>
      </c>
      <c r="C102" s="3">
        <f>[1]!i_dq_close("881001.WI",A102)</f>
        <v>4062.2827000000002</v>
      </c>
      <c r="D102" s="2">
        <f t="shared" si="5"/>
        <v>4.5034138789006599</v>
      </c>
      <c r="E102" s="2">
        <f t="shared" si="6"/>
        <v>2.5093505410171195</v>
      </c>
      <c r="F102" s="5">
        <f t="shared" si="7"/>
        <v>0.93381801215784432</v>
      </c>
      <c r="G102" s="2">
        <f t="shared" si="8"/>
        <v>1</v>
      </c>
    </row>
    <row r="103" spans="1:7" x14ac:dyDescent="0.4">
      <c r="A103" s="1">
        <v>42490</v>
      </c>
      <c r="B103">
        <v>4.4265149725654602</v>
      </c>
      <c r="C103" s="3">
        <f>[1]!i_dq_close("881001.WI",A103)</f>
        <v>3986.7197999999999</v>
      </c>
      <c r="D103" s="2">
        <f t="shared" si="5"/>
        <v>4.4265149725654602</v>
      </c>
      <c r="E103" s="2">
        <f t="shared" si="6"/>
        <v>2.4626738771808427</v>
      </c>
      <c r="F103" s="5">
        <f t="shared" si="7"/>
        <v>0.93676786176193816</v>
      </c>
      <c r="G103" s="2">
        <f t="shared" si="8"/>
        <v>1</v>
      </c>
    </row>
    <row r="104" spans="1:7" x14ac:dyDescent="0.4">
      <c r="A104" s="1">
        <v>42521</v>
      </c>
      <c r="B104">
        <v>4.4853901492861903</v>
      </c>
      <c r="C104" s="3">
        <f>[1]!i_dq_close("881001.WI",A104)</f>
        <v>3968.2447000000002</v>
      </c>
      <c r="D104" s="2">
        <f t="shared" si="5"/>
        <v>4.4853901492861903</v>
      </c>
      <c r="E104" s="2">
        <f t="shared" si="6"/>
        <v>2.4512614508176198</v>
      </c>
      <c r="F104" s="5">
        <f t="shared" si="7"/>
        <v>0.97150327364132893</v>
      </c>
      <c r="G104" s="2">
        <f t="shared" si="8"/>
        <v>1</v>
      </c>
    </row>
    <row r="105" spans="1:7" x14ac:dyDescent="0.4">
      <c r="A105" s="1">
        <v>42551</v>
      </c>
      <c r="B105">
        <v>4.8506031342712097</v>
      </c>
      <c r="C105" s="3">
        <f>[1]!i_dq_close("881001.WI",A105)</f>
        <v>4105.9422000000004</v>
      </c>
      <c r="D105" s="2">
        <f t="shared" si="5"/>
        <v>4.8506031342712097</v>
      </c>
      <c r="E105" s="2">
        <f t="shared" si="6"/>
        <v>2.5363198580332735</v>
      </c>
      <c r="F105" s="5">
        <f t="shared" si="7"/>
        <v>1.0636177028514142</v>
      </c>
      <c r="G105" s="2">
        <f t="shared" si="8"/>
        <v>1</v>
      </c>
    </row>
    <row r="106" spans="1:7" x14ac:dyDescent="0.4">
      <c r="A106" s="1">
        <v>42582</v>
      </c>
      <c r="B106">
        <v>4.8293766010295398</v>
      </c>
      <c r="C106" s="3">
        <f>[1]!i_dq_close("881001.WI",A106)</f>
        <v>4127.5754999999999</v>
      </c>
      <c r="D106" s="2">
        <f t="shared" si="5"/>
        <v>4.8293766010295398</v>
      </c>
      <c r="E106" s="2">
        <f t="shared" si="6"/>
        <v>2.5496831655792955</v>
      </c>
      <c r="F106" s="5">
        <f t="shared" si="7"/>
        <v>1.0437144421449656</v>
      </c>
      <c r="G106" s="2">
        <f t="shared" si="8"/>
        <v>0</v>
      </c>
    </row>
    <row r="107" spans="1:7" x14ac:dyDescent="0.4">
      <c r="A107" s="1">
        <v>42613</v>
      </c>
      <c r="B107">
        <v>4.9503739137989697</v>
      </c>
      <c r="C107" s="3">
        <f>[1]!i_dq_close("881001.WI",A107)</f>
        <v>4322.6367</v>
      </c>
      <c r="D107" s="2">
        <f t="shared" si="5"/>
        <v>4.9503739137989697</v>
      </c>
      <c r="E107" s="2">
        <f t="shared" si="6"/>
        <v>2.6701762390306949</v>
      </c>
      <c r="F107" s="5">
        <f t="shared" si="7"/>
        <v>0.99833658282732007</v>
      </c>
      <c r="G107" s="2">
        <f t="shared" si="8"/>
        <v>0</v>
      </c>
    </row>
    <row r="108" spans="1:7" x14ac:dyDescent="0.4">
      <c r="A108" s="1">
        <v>42643</v>
      </c>
      <c r="B108">
        <v>4.8223786608880701</v>
      </c>
      <c r="C108" s="3">
        <f>[1]!i_dq_close("881001.WI",A108)</f>
        <v>4247.6500999999998</v>
      </c>
      <c r="D108" s="2">
        <f t="shared" si="5"/>
        <v>4.8223786608880701</v>
      </c>
      <c r="E108" s="2">
        <f t="shared" si="6"/>
        <v>2.6238555668433468</v>
      </c>
      <c r="F108" s="5">
        <f t="shared" si="7"/>
        <v>0.9813342306959576</v>
      </c>
      <c r="G108" s="2">
        <f t="shared" si="8"/>
        <v>0</v>
      </c>
    </row>
    <row r="109" spans="1:7" x14ac:dyDescent="0.4">
      <c r="A109" s="1">
        <v>42674</v>
      </c>
      <c r="B109">
        <v>4.9818134254984603</v>
      </c>
      <c r="C109" s="3">
        <f>[1]!i_dq_close("881001.WI",A109)</f>
        <v>4381.6391999999996</v>
      </c>
      <c r="D109" s="2">
        <f t="shared" si="5"/>
        <v>4.9818134254984603</v>
      </c>
      <c r="E109" s="2">
        <f t="shared" si="6"/>
        <v>2.7066232237017425</v>
      </c>
      <c r="F109" s="5">
        <f t="shared" si="7"/>
        <v>0.98434020753540574</v>
      </c>
      <c r="G109" s="2">
        <f t="shared" si="8"/>
        <v>1</v>
      </c>
    </row>
    <row r="110" spans="1:7" x14ac:dyDescent="0.4">
      <c r="A110" s="1">
        <v>42704</v>
      </c>
      <c r="B110">
        <v>5.1215772932208603</v>
      </c>
      <c r="C110" s="3">
        <f>[1]!i_dq_close("881001.WI",A110)</f>
        <v>4554.3166000000001</v>
      </c>
      <c r="D110" s="2">
        <f t="shared" si="5"/>
        <v>5.1215772932208603</v>
      </c>
      <c r="E110" s="2">
        <f t="shared" si="6"/>
        <v>2.813289391251192</v>
      </c>
      <c r="F110" s="5">
        <f t="shared" si="7"/>
        <v>0.96180902185861794</v>
      </c>
      <c r="G110" s="2">
        <f t="shared" si="8"/>
        <v>0</v>
      </c>
    </row>
    <row r="111" spans="1:7" x14ac:dyDescent="0.4">
      <c r="A111" s="1">
        <v>42735</v>
      </c>
      <c r="B111">
        <v>4.8346010994587401</v>
      </c>
      <c r="C111" s="3">
        <f>[1]!i_dq_close("881001.WI",A111)</f>
        <v>4310.2245000000003</v>
      </c>
      <c r="D111" s="2">
        <f t="shared" si="5"/>
        <v>4.8346010994587401</v>
      </c>
      <c r="E111" s="2">
        <f t="shared" si="6"/>
        <v>2.6625089831833328</v>
      </c>
      <c r="F111" s="5">
        <f t="shared" si="7"/>
        <v>0.95702807914650023</v>
      </c>
      <c r="G111" s="2">
        <f t="shared" si="8"/>
        <v>0</v>
      </c>
    </row>
    <row r="112" spans="1:7" x14ac:dyDescent="0.4">
      <c r="A112" s="1">
        <v>42766</v>
      </c>
      <c r="B112">
        <v>4.8733378971505603</v>
      </c>
      <c r="C112" s="3">
        <f>[1]!i_dq_close("881001.WI",A112)</f>
        <v>4299.3154000000004</v>
      </c>
      <c r="D112" s="2">
        <f t="shared" si="5"/>
        <v>4.8733378971505603</v>
      </c>
      <c r="E112" s="2">
        <f t="shared" si="6"/>
        <v>2.6557702212584156</v>
      </c>
      <c r="F112" s="5">
        <f t="shared" si="7"/>
        <v>0.97766178961378158</v>
      </c>
      <c r="G112" s="2">
        <f t="shared" si="8"/>
        <v>1</v>
      </c>
    </row>
    <row r="113" spans="1:7" x14ac:dyDescent="0.4">
      <c r="A113" s="1">
        <v>42794</v>
      </c>
      <c r="B113">
        <v>5.0471775889969299</v>
      </c>
      <c r="C113" s="3">
        <f>[1]!i_dq_close("881001.WI",A113)</f>
        <v>4435.085</v>
      </c>
      <c r="D113" s="2">
        <f t="shared" si="5"/>
        <v>5.0471775889969299</v>
      </c>
      <c r="E113" s="2">
        <f t="shared" si="6"/>
        <v>2.7396377273809405</v>
      </c>
      <c r="F113" s="5">
        <f t="shared" si="7"/>
        <v>0.98575484181865525</v>
      </c>
      <c r="G113" s="2">
        <f t="shared" si="8"/>
        <v>1</v>
      </c>
    </row>
    <row r="114" spans="1:7" x14ac:dyDescent="0.4">
      <c r="A114" s="1">
        <v>42825</v>
      </c>
      <c r="B114">
        <v>5.0804641550615397</v>
      </c>
      <c r="C114" s="3">
        <f>[1]!i_dq_close("881001.WI",A114)</f>
        <v>4409.2624999999998</v>
      </c>
      <c r="D114" s="2">
        <f t="shared" si="5"/>
        <v>5.0804641550615397</v>
      </c>
      <c r="E114" s="2">
        <f t="shared" si="6"/>
        <v>2.723686670024589</v>
      </c>
      <c r="F114" s="5">
        <f t="shared" si="7"/>
        <v>1.0104127713769331</v>
      </c>
      <c r="G114" s="2">
        <f t="shared" si="8"/>
        <v>1</v>
      </c>
    </row>
    <row r="115" spans="1:7" x14ac:dyDescent="0.4">
      <c r="A115" s="1">
        <v>42855</v>
      </c>
      <c r="B115">
        <v>4.9253838702230697</v>
      </c>
      <c r="C115" s="3">
        <f>[1]!i_dq_close("881001.WI",A115)</f>
        <v>4279.7678999999998</v>
      </c>
      <c r="D115" s="2">
        <f t="shared" si="5"/>
        <v>4.9253838702230697</v>
      </c>
      <c r="E115" s="2">
        <f t="shared" si="6"/>
        <v>2.6436953526874682</v>
      </c>
      <c r="F115" s="5">
        <f t="shared" si="7"/>
        <v>1.0080886140288103</v>
      </c>
      <c r="G115" s="2">
        <f t="shared" si="8"/>
        <v>0</v>
      </c>
    </row>
    <row r="116" spans="1:7" x14ac:dyDescent="0.4">
      <c r="A116" s="1">
        <v>42886</v>
      </c>
      <c r="B116">
        <v>4.7883605081826497</v>
      </c>
      <c r="C116" s="3">
        <f>[1]!i_dq_close("881001.WI",A116)</f>
        <v>4158.2803000000004</v>
      </c>
      <c r="D116" s="2">
        <f t="shared" si="5"/>
        <v>4.7883605081826497</v>
      </c>
      <c r="E116" s="2">
        <f t="shared" si="6"/>
        <v>2.5686501140124567</v>
      </c>
      <c r="F116" s="5">
        <f t="shared" si="7"/>
        <v>1.0092265146377528</v>
      </c>
      <c r="G116" s="2">
        <f t="shared" si="8"/>
        <v>1</v>
      </c>
    </row>
    <row r="117" spans="1:7" x14ac:dyDescent="0.4">
      <c r="A117" s="1">
        <v>42916</v>
      </c>
      <c r="B117">
        <v>5.1110665184614001</v>
      </c>
      <c r="C117" s="3">
        <f>[1]!i_dq_close("881001.WI",A117)</f>
        <v>4357.9826000000003</v>
      </c>
      <c r="D117" s="2">
        <f t="shared" si="5"/>
        <v>5.1110665184614001</v>
      </c>
      <c r="E117" s="2">
        <f t="shared" si="6"/>
        <v>2.6920100846386674</v>
      </c>
      <c r="F117" s="5">
        <f t="shared" si="7"/>
        <v>1.0481424756617543</v>
      </c>
      <c r="G117" s="2">
        <f t="shared" si="8"/>
        <v>1</v>
      </c>
    </row>
    <row r="118" spans="1:7" x14ac:dyDescent="0.4">
      <c r="A118" s="1">
        <v>42947</v>
      </c>
      <c r="B118">
        <v>5.1981243671039401</v>
      </c>
      <c r="C118" s="3">
        <f>[1]!i_dq_close("881001.WI",A118)</f>
        <v>4428.3127000000004</v>
      </c>
      <c r="D118" s="2">
        <f t="shared" si="5"/>
        <v>5.1981243671039401</v>
      </c>
      <c r="E118" s="2">
        <f t="shared" si="6"/>
        <v>2.7354543467735475</v>
      </c>
      <c r="F118" s="5">
        <f t="shared" si="7"/>
        <v>1.0499755259241415</v>
      </c>
      <c r="G118" s="2">
        <f t="shared" si="8"/>
        <v>1</v>
      </c>
    </row>
    <row r="119" spans="1:7" x14ac:dyDescent="0.4">
      <c r="A119" s="1">
        <v>42978</v>
      </c>
      <c r="B119">
        <v>5.4035846378429397</v>
      </c>
      <c r="C119" s="3">
        <f>[1]!i_dq_close("881001.WI",A119)</f>
        <v>4563.3838999999998</v>
      </c>
      <c r="D119" s="2">
        <f t="shared" si="5"/>
        <v>5.4035846378429397</v>
      </c>
      <c r="E119" s="2">
        <f t="shared" si="6"/>
        <v>2.8188904377171515</v>
      </c>
      <c r="F119" s="5">
        <f t="shared" si="7"/>
        <v>1.0684747450586807</v>
      </c>
      <c r="G119" s="2">
        <f t="shared" si="8"/>
        <v>1</v>
      </c>
    </row>
    <row r="120" spans="1:7" x14ac:dyDescent="0.4">
      <c r="A120" s="1">
        <v>43008</v>
      </c>
      <c r="B120">
        <v>5.8978046430297697</v>
      </c>
      <c r="C120" s="3">
        <f>[1]!i_dq_close("881001.WI",A120)</f>
        <v>4621.7525999999998</v>
      </c>
      <c r="D120" s="2">
        <f t="shared" si="5"/>
        <v>5.8978046430297697</v>
      </c>
      <c r="E120" s="2">
        <f t="shared" si="6"/>
        <v>2.8549459118778904</v>
      </c>
      <c r="F120" s="5">
        <f t="shared" si="7"/>
        <v>1.2312034057992305</v>
      </c>
      <c r="G120" s="2">
        <f t="shared" si="8"/>
        <v>1</v>
      </c>
    </row>
    <row r="121" spans="1:7" x14ac:dyDescent="0.4">
      <c r="A121" s="1">
        <v>43039</v>
      </c>
      <c r="B121">
        <v>6.27268608388228</v>
      </c>
      <c r="C121" s="3">
        <f>[1]!i_dq_close("881001.WI",A121)</f>
        <v>4672.8540000000003</v>
      </c>
      <c r="D121" s="2">
        <f t="shared" si="5"/>
        <v>6.27268608388228</v>
      </c>
      <c r="E121" s="2">
        <f t="shared" si="6"/>
        <v>2.886512234363702</v>
      </c>
      <c r="F121" s="5">
        <f t="shared" si="7"/>
        <v>1.3483553375974409</v>
      </c>
      <c r="G121" s="2">
        <f t="shared" si="8"/>
        <v>1</v>
      </c>
    </row>
    <row r="122" spans="1:7" x14ac:dyDescent="0.4">
      <c r="A122" s="1">
        <v>43069</v>
      </c>
      <c r="B122">
        <v>6.2910112443435402</v>
      </c>
      <c r="C122" s="3">
        <f>[1]!i_dq_close("881001.WI",A122)</f>
        <v>4534.9359000000004</v>
      </c>
      <c r="D122" s="2">
        <f t="shared" si="5"/>
        <v>6.2910112443435402</v>
      </c>
      <c r="E122" s="2">
        <f t="shared" si="6"/>
        <v>2.801317558264214</v>
      </c>
      <c r="F122" s="5">
        <f t="shared" si="7"/>
        <v>1.4245269854046252</v>
      </c>
      <c r="G122" s="2">
        <f t="shared" si="8"/>
        <v>1</v>
      </c>
    </row>
    <row r="123" spans="1:7" x14ac:dyDescent="0.4">
      <c r="A123" s="1">
        <v>43100</v>
      </c>
      <c r="B123">
        <v>6.3585086522942698</v>
      </c>
      <c r="C123" s="3">
        <f>[1]!i_dq_close("881001.WI",A123)</f>
        <v>4522.7222000000002</v>
      </c>
      <c r="D123" s="2">
        <f t="shared" si="5"/>
        <v>6.3585086522942698</v>
      </c>
      <c r="E123" s="2">
        <f t="shared" si="6"/>
        <v>2.7937729197035295</v>
      </c>
      <c r="F123" s="5">
        <f t="shared" si="7"/>
        <v>1.4570700266735934</v>
      </c>
      <c r="G123" s="2">
        <f t="shared" si="8"/>
        <v>1</v>
      </c>
    </row>
    <row r="124" spans="1:7" x14ac:dyDescent="0.4">
      <c r="A124" s="1">
        <v>43131</v>
      </c>
      <c r="B124">
        <v>6.6641259174051104</v>
      </c>
      <c r="C124" s="3">
        <f>[1]!i_dq_close("881001.WI",A124)</f>
        <v>4603.9187000000002</v>
      </c>
      <c r="D124" s="2">
        <f t="shared" si="5"/>
        <v>6.6641259174051104</v>
      </c>
      <c r="E124" s="2">
        <f t="shared" si="6"/>
        <v>2.843929567148006</v>
      </c>
      <c r="F124" s="5">
        <f t="shared" si="7"/>
        <v>1.5310555613477428</v>
      </c>
      <c r="G124" s="2">
        <f t="shared" si="8"/>
        <v>1</v>
      </c>
    </row>
    <row r="125" spans="1:7" x14ac:dyDescent="0.4">
      <c r="A125" s="1">
        <v>43159</v>
      </c>
      <c r="B125">
        <v>6.1984567165412496</v>
      </c>
      <c r="C125" s="3">
        <f>[1]!i_dq_close("881001.WI",A125)</f>
        <v>4380.6025</v>
      </c>
      <c r="D125" s="2">
        <f t="shared" si="5"/>
        <v>6.1984567165412496</v>
      </c>
      <c r="E125" s="2">
        <f t="shared" si="6"/>
        <v>2.7059828340740406</v>
      </c>
      <c r="F125" s="5">
        <f t="shared" si="7"/>
        <v>1.476963530889531</v>
      </c>
      <c r="G125" s="2">
        <f t="shared" si="8"/>
        <v>0</v>
      </c>
    </row>
    <row r="126" spans="1:7" x14ac:dyDescent="0.4">
      <c r="A126" s="1">
        <v>43190</v>
      </c>
      <c r="B126">
        <v>5.81986449301034</v>
      </c>
      <c r="C126" s="3">
        <f>[1]!i_dq_close("881001.WI",A126)</f>
        <v>4376.2498999999998</v>
      </c>
      <c r="D126" s="2">
        <f t="shared" si="5"/>
        <v>5.81986449301034</v>
      </c>
      <c r="E126" s="2">
        <f t="shared" si="6"/>
        <v>2.7032941489254587</v>
      </c>
      <c r="F126" s="5">
        <f t="shared" si="7"/>
        <v>1.3281355296213895</v>
      </c>
      <c r="G126" s="2">
        <f t="shared" si="8"/>
        <v>0</v>
      </c>
    </row>
    <row r="127" spans="1:7" x14ac:dyDescent="0.4">
      <c r="A127" s="1">
        <v>43220</v>
      </c>
      <c r="B127">
        <v>5.60148723636852</v>
      </c>
      <c r="C127" s="3">
        <f>[1]!i_dq_close("881001.WI",A127)</f>
        <v>4213.4125000000004</v>
      </c>
      <c r="D127" s="2">
        <f t="shared" si="5"/>
        <v>5.60148723636852</v>
      </c>
      <c r="E127" s="2">
        <f t="shared" si="6"/>
        <v>2.6027063395669865</v>
      </c>
      <c r="F127" s="5">
        <f t="shared" si="7"/>
        <v>1.3274059098906807</v>
      </c>
      <c r="G127" s="2">
        <f t="shared" si="8"/>
        <v>0</v>
      </c>
    </row>
    <row r="128" spans="1:7" x14ac:dyDescent="0.4">
      <c r="A128" s="1">
        <v>43251</v>
      </c>
      <c r="B128">
        <v>5.4973692940236196</v>
      </c>
      <c r="C128" s="3">
        <f>[1]!i_dq_close("881001.WI",A128)</f>
        <v>4210.9382999999998</v>
      </c>
      <c r="D128" s="2">
        <f t="shared" si="5"/>
        <v>5.4973692940236196</v>
      </c>
      <c r="E128" s="2">
        <f t="shared" si="6"/>
        <v>2.6011779784047793</v>
      </c>
      <c r="F128" s="5">
        <f t="shared" si="7"/>
        <v>1.2855118278310744</v>
      </c>
      <c r="G128" s="2">
        <f t="shared" si="8"/>
        <v>0</v>
      </c>
    </row>
    <row r="129" spans="1:7" x14ac:dyDescent="0.4">
      <c r="A129" s="1">
        <v>43281</v>
      </c>
      <c r="B129">
        <v>5.3330179131233901</v>
      </c>
      <c r="C129" s="3">
        <f>[1]!i_dq_close("881001.WI",A129)</f>
        <v>3860.3371999999999</v>
      </c>
      <c r="D129" s="2">
        <f t="shared" si="5"/>
        <v>5.3330179131233901</v>
      </c>
      <c r="E129" s="2">
        <f t="shared" si="6"/>
        <v>2.3846049023935514</v>
      </c>
      <c r="F129" s="5">
        <f t="shared" si="7"/>
        <v>1.4074741568596956</v>
      </c>
      <c r="G129" s="2">
        <f t="shared" si="8"/>
        <v>1</v>
      </c>
    </row>
    <row r="130" spans="1:7" x14ac:dyDescent="0.4">
      <c r="A130" s="1">
        <v>43312</v>
      </c>
      <c r="B130">
        <v>5.74011370242137</v>
      </c>
      <c r="C130" s="3">
        <f>[1]!i_dq_close("881001.WI",A130)</f>
        <v>3872.0117</v>
      </c>
      <c r="D130" s="2">
        <f t="shared" si="5"/>
        <v>5.74011370242137</v>
      </c>
      <c r="E130" s="2">
        <f t="shared" si="6"/>
        <v>2.3918164666923887</v>
      </c>
      <c r="F130" s="5">
        <f t="shared" si="7"/>
        <v>1.5839679106359106</v>
      </c>
      <c r="G130" s="2">
        <f t="shared" si="8"/>
        <v>1</v>
      </c>
    </row>
    <row r="131" spans="1:7" x14ac:dyDescent="0.4">
      <c r="A131" s="1">
        <v>43343</v>
      </c>
      <c r="B131">
        <v>5.47509895416324</v>
      </c>
      <c r="C131" s="3">
        <f>[1]!i_dq_close("881001.WI",A131)</f>
        <v>3625.9119000000001</v>
      </c>
      <c r="D131" s="2">
        <f t="shared" si="5"/>
        <v>5.47509895416324</v>
      </c>
      <c r="E131" s="2">
        <f t="shared" si="6"/>
        <v>2.2397958635289985</v>
      </c>
      <c r="F131" s="5">
        <f t="shared" si="7"/>
        <v>1.628902436558251</v>
      </c>
      <c r="G131" s="2">
        <f t="shared" si="8"/>
        <v>1</v>
      </c>
    </row>
    <row r="132" spans="1:7" x14ac:dyDescent="0.4">
      <c r="A132" s="1">
        <v>43373</v>
      </c>
      <c r="B132">
        <v>5.4115359458306198</v>
      </c>
      <c r="C132" s="3">
        <f>[1]!i_dq_close("881001.WI",A132)</f>
        <v>3674.7586999999999</v>
      </c>
      <c r="D132" s="2">
        <f t="shared" si="5"/>
        <v>5.4115359458306198</v>
      </c>
      <c r="E132" s="2">
        <f t="shared" si="6"/>
        <v>2.269969476017109</v>
      </c>
      <c r="F132" s="5">
        <f t="shared" si="7"/>
        <v>1.562966770305275</v>
      </c>
      <c r="G132" s="2">
        <f t="shared" si="8"/>
        <v>0</v>
      </c>
    </row>
    <row r="133" spans="1:7" x14ac:dyDescent="0.4">
      <c r="A133" s="1">
        <v>43404</v>
      </c>
      <c r="B133">
        <v>4.9829497022287699</v>
      </c>
      <c r="C133" s="3">
        <f>[1]!i_dq_close("881001.WI",A133)</f>
        <v>3338.8364999999999</v>
      </c>
      <c r="D133" s="2">
        <f t="shared" si="5"/>
        <v>4.9829497022287699</v>
      </c>
      <c r="E133" s="2">
        <f t="shared" si="6"/>
        <v>2.0624638402548165</v>
      </c>
      <c r="F133" s="5">
        <f t="shared" si="7"/>
        <v>1.5942728240551514</v>
      </c>
      <c r="G133" s="2">
        <f t="shared" si="8"/>
        <v>1</v>
      </c>
    </row>
    <row r="134" spans="1:7" x14ac:dyDescent="0.4">
      <c r="A134" s="1">
        <v>43434</v>
      </c>
      <c r="B134">
        <v>5.0727651330355696</v>
      </c>
      <c r="C134" s="3">
        <f>[1]!i_dq_close("881001.WI",A134)</f>
        <v>3409.7867000000001</v>
      </c>
      <c r="D134" s="2">
        <f t="shared" si="5"/>
        <v>5.0727651330355696</v>
      </c>
      <c r="E134" s="2">
        <f t="shared" si="6"/>
        <v>2.1062911501452075</v>
      </c>
      <c r="F134" s="5">
        <f t="shared" si="7"/>
        <v>1.5859051880091259</v>
      </c>
      <c r="G134" s="2">
        <f t="shared" si="8"/>
        <v>0</v>
      </c>
    </row>
    <row r="135" spans="1:7" x14ac:dyDescent="0.4">
      <c r="A135" s="1">
        <v>43465</v>
      </c>
      <c r="B135">
        <v>4.9985129657640401</v>
      </c>
      <c r="C135" s="3">
        <f>[1]!i_dq_close("881001.WI",A135)</f>
        <v>3244.8955000000001</v>
      </c>
      <c r="D135" s="2">
        <f t="shared" si="5"/>
        <v>4.9985129657640401</v>
      </c>
      <c r="E135" s="2">
        <f t="shared" si="6"/>
        <v>2.0044346688301671</v>
      </c>
      <c r="F135" s="5">
        <f t="shared" si="7"/>
        <v>1.6731039815303959</v>
      </c>
      <c r="G135" s="2">
        <f t="shared" si="8"/>
        <v>1</v>
      </c>
    </row>
    <row r="136" spans="1:7" x14ac:dyDescent="0.4">
      <c r="A136" s="1">
        <v>43496</v>
      </c>
      <c r="B136">
        <v>5.0231875124845704</v>
      </c>
      <c r="C136" s="3">
        <f>[1]!i_dq_close("881001.WI",A136)</f>
        <v>3333.4650000000001</v>
      </c>
      <c r="D136" s="2">
        <f t="shared" si="5"/>
        <v>5.0231875124845704</v>
      </c>
      <c r="E136" s="2">
        <f t="shared" si="6"/>
        <v>2.0591457608825778</v>
      </c>
      <c r="F136" s="5">
        <f t="shared" si="7"/>
        <v>1.6133369948865779</v>
      </c>
      <c r="G136" s="2">
        <f t="shared" si="8"/>
        <v>0</v>
      </c>
    </row>
    <row r="137" spans="1:7" x14ac:dyDescent="0.4">
      <c r="A137" s="1">
        <v>43524</v>
      </c>
      <c r="B137">
        <v>6.6391600173133201</v>
      </c>
      <c r="C137" s="3">
        <f>[1]!i_dq_close("881001.WI",A137)</f>
        <v>3928.2467999999999</v>
      </c>
      <c r="D137" s="2">
        <f t="shared" si="5"/>
        <v>6.6391600173133201</v>
      </c>
      <c r="E137" s="2">
        <f t="shared" si="6"/>
        <v>2.4265539748941571</v>
      </c>
      <c r="F137" s="5">
        <f t="shared" si="7"/>
        <v>1.9877631460997773</v>
      </c>
      <c r="G137" s="2">
        <f t="shared" si="8"/>
        <v>1</v>
      </c>
    </row>
    <row r="138" spans="1:7" x14ac:dyDescent="0.4">
      <c r="A138" s="1">
        <v>43555</v>
      </c>
      <c r="B138">
        <v>7.4032820677670204</v>
      </c>
      <c r="C138" s="3">
        <f>[1]!i_dq_close("881001.WI",A138)</f>
        <v>4241.5262000000002</v>
      </c>
      <c r="D138" s="2">
        <f t="shared" si="5"/>
        <v>7.4032820677670204</v>
      </c>
      <c r="E138" s="2">
        <f t="shared" si="6"/>
        <v>2.6200727154484564</v>
      </c>
      <c r="F138" s="5">
        <f t="shared" si="7"/>
        <v>2.093358895503723</v>
      </c>
      <c r="G138" s="2">
        <f t="shared" si="8"/>
        <v>1</v>
      </c>
    </row>
    <row r="139" spans="1:7" x14ac:dyDescent="0.4">
      <c r="A139" s="1">
        <v>43585</v>
      </c>
      <c r="B139">
        <v>7.32400076553093</v>
      </c>
      <c r="C139" s="3">
        <f>[1]!i_dq_close("881001.WI",A139)</f>
        <v>4180.4348</v>
      </c>
      <c r="D139" s="2">
        <f t="shared" si="5"/>
        <v>7.32400076553093</v>
      </c>
      <c r="E139" s="2">
        <f t="shared" si="6"/>
        <v>2.5823353768724155</v>
      </c>
      <c r="F139" s="5">
        <f t="shared" si="7"/>
        <v>2.1047864585362803</v>
      </c>
      <c r="G139" s="2">
        <f t="shared" si="8"/>
        <v>1</v>
      </c>
    </row>
    <row r="140" spans="1:7" x14ac:dyDescent="0.4">
      <c r="A140" s="1">
        <v>43616</v>
      </c>
      <c r="B140">
        <v>6.6912605945740697</v>
      </c>
      <c r="C140" s="3">
        <f>[1]!i_dq_close("881001.WI",A140)</f>
        <v>3913.6615999999999</v>
      </c>
      <c r="D140" s="2">
        <f t="shared" si="5"/>
        <v>6.6912605945740697</v>
      </c>
      <c r="E140" s="2">
        <f t="shared" si="6"/>
        <v>2.4175444149462875</v>
      </c>
      <c r="F140" s="5">
        <f t="shared" si="7"/>
        <v>2.0346866080568105</v>
      </c>
      <c r="G140" s="2">
        <f t="shared" si="8"/>
        <v>0</v>
      </c>
    </row>
    <row r="141" spans="1:7" x14ac:dyDescent="0.4">
      <c r="A141" s="1">
        <v>43646</v>
      </c>
      <c r="B141">
        <v>6.6854240386186099</v>
      </c>
      <c r="C141" s="3">
        <f>[1]!i_dq_close("881001.WI",A141)</f>
        <v>4045.6673000000001</v>
      </c>
      <c r="D141" s="2">
        <f t="shared" si="5"/>
        <v>6.6854240386186099</v>
      </c>
      <c r="E141" s="2">
        <f t="shared" si="6"/>
        <v>2.4990868872888314</v>
      </c>
      <c r="F141" s="5">
        <f t="shared" si="7"/>
        <v>1.9296812090810667</v>
      </c>
      <c r="G141" s="2">
        <f t="shared" si="8"/>
        <v>0</v>
      </c>
    </row>
    <row r="142" spans="1:7" x14ac:dyDescent="0.4">
      <c r="A142" s="1">
        <v>43677</v>
      </c>
      <c r="B142">
        <v>6.7255212589734601</v>
      </c>
      <c r="C142" s="3">
        <f>[1]!i_dq_close("881001.WI",A142)</f>
        <v>4041.1185999999998</v>
      </c>
      <c r="D142" s="2">
        <f t="shared" si="5"/>
        <v>6.7255212589734601</v>
      </c>
      <c r="E142" s="2">
        <f t="shared" si="6"/>
        <v>2.4962770673799595</v>
      </c>
      <c r="F142" s="5">
        <f t="shared" si="7"/>
        <v>1.9505465348539923</v>
      </c>
      <c r="G142" s="2">
        <f t="shared" si="8"/>
        <v>1</v>
      </c>
    </row>
    <row r="143" spans="1:7" x14ac:dyDescent="0.4">
      <c r="A143" s="1">
        <v>43708</v>
      </c>
      <c r="B143">
        <v>6.5409551345695798</v>
      </c>
      <c r="C143" s="3">
        <f>[1]!i_dq_close("881001.WI",A143)</f>
        <v>4011.1518000000001</v>
      </c>
      <c r="D143" s="2">
        <f t="shared" si="5"/>
        <v>6.5409551345695798</v>
      </c>
      <c r="E143" s="2">
        <f t="shared" si="6"/>
        <v>2.4777659958111218</v>
      </c>
      <c r="F143" s="5">
        <f t="shared" si="7"/>
        <v>1.8914554135596449</v>
      </c>
      <c r="G143" s="2">
        <f t="shared" si="8"/>
        <v>0</v>
      </c>
    </row>
    <row r="144" spans="1:7" x14ac:dyDescent="0.4">
      <c r="A144" s="1">
        <v>43738</v>
      </c>
      <c r="B144">
        <v>6.4121080881222099</v>
      </c>
      <c r="C144" s="3">
        <f>[1]!i_dq_close("881001.WI",A144)</f>
        <v>4042.0189</v>
      </c>
      <c r="D144" s="2">
        <f t="shared" si="5"/>
        <v>6.4121080881222099</v>
      </c>
      <c r="E144" s="2">
        <f t="shared" si="6"/>
        <v>2.4968332000912743</v>
      </c>
      <c r="F144" s="5">
        <f t="shared" si="7"/>
        <v>1.8122473835753223</v>
      </c>
      <c r="G144" s="2">
        <f t="shared" si="8"/>
        <v>0</v>
      </c>
    </row>
    <row r="145" spans="1:7" x14ac:dyDescent="0.4">
      <c r="A145" s="1">
        <v>43769</v>
      </c>
      <c r="B145">
        <v>6.6997692122667303</v>
      </c>
      <c r="C145" s="3">
        <f>[1]!i_dq_close("881001.WI",A145)</f>
        <v>4075.0093000000002</v>
      </c>
      <c r="D145" s="2">
        <f t="shared" si="5"/>
        <v>6.6997692122667303</v>
      </c>
      <c r="E145" s="2">
        <f t="shared" si="6"/>
        <v>2.5172120078213154</v>
      </c>
      <c r="F145" s="5">
        <f t="shared" si="7"/>
        <v>1.9154577470450809</v>
      </c>
      <c r="G145" s="2">
        <f t="shared" si="8"/>
        <v>1</v>
      </c>
    </row>
    <row r="146" spans="1:7" x14ac:dyDescent="0.4">
      <c r="A146" s="1">
        <v>43799</v>
      </c>
      <c r="B146">
        <v>6.5983571166677901</v>
      </c>
      <c r="C146" s="3">
        <f>[1]!i_dq_close("881001.WI",A146)</f>
        <v>4013.6017999999999</v>
      </c>
      <c r="D146" s="2">
        <f t="shared" ref="D146:D204" si="9">B146/B$16</f>
        <v>6.5983571166677901</v>
      </c>
      <c r="E146" s="2">
        <f t="shared" ref="E146:E204" si="10">C146/C$16</f>
        <v>2.4792794081655827</v>
      </c>
      <c r="F146" s="5">
        <f t="shared" ref="F146:F204" si="11">(F145+1)*(B146/B145-C146/C145+1)-1</f>
        <v>1.9152613492586195</v>
      </c>
      <c r="G146" s="2">
        <f t="shared" ref="G146:G209" si="12">IF(F146&gt;F145,1,0)</f>
        <v>0</v>
      </c>
    </row>
    <row r="147" spans="1:7" x14ac:dyDescent="0.4">
      <c r="A147" s="1">
        <v>43830</v>
      </c>
      <c r="B147">
        <v>7.0297504934021404</v>
      </c>
      <c r="C147" s="3">
        <f>[1]!i_dq_close("881001.WI",A147)</f>
        <v>4316.4898999999996</v>
      </c>
      <c r="D147" s="2">
        <f t="shared" si="9"/>
        <v>7.0297504934021404</v>
      </c>
      <c r="E147" s="2">
        <f t="shared" si="10"/>
        <v>2.6663792418631846</v>
      </c>
      <c r="F147" s="5">
        <f t="shared" si="11"/>
        <v>1.8858565610450144</v>
      </c>
      <c r="G147" s="2">
        <f t="shared" si="12"/>
        <v>0</v>
      </c>
    </row>
    <row r="148" spans="1:7" x14ac:dyDescent="0.4">
      <c r="A148" s="1">
        <v>43861</v>
      </c>
      <c r="B148">
        <v>7.19828479363174</v>
      </c>
      <c r="C148" s="3">
        <f>[1]!i_dq_close("881001.WI",A148)</f>
        <v>4305.5828000000001</v>
      </c>
      <c r="D148" s="2">
        <f t="shared" si="9"/>
        <v>7.19828479363174</v>
      </c>
      <c r="E148" s="2">
        <f t="shared" si="10"/>
        <v>2.6596417153769245</v>
      </c>
      <c r="F148" s="5">
        <f t="shared" si="11"/>
        <v>1.9623354548184908</v>
      </c>
      <c r="G148" s="2">
        <f t="shared" si="12"/>
        <v>1</v>
      </c>
    </row>
    <row r="149" spans="1:7" x14ac:dyDescent="0.4">
      <c r="A149" s="1">
        <v>43890</v>
      </c>
      <c r="B149">
        <v>7.1658149970776597</v>
      </c>
      <c r="C149" s="3">
        <f>[1]!i_dq_close("881001.WI",A149)</f>
        <v>4304.3982999999998</v>
      </c>
      <c r="D149" s="2">
        <f t="shared" si="9"/>
        <v>7.1658149970776597</v>
      </c>
      <c r="E149" s="2">
        <f t="shared" si="10"/>
        <v>2.6589100268324923</v>
      </c>
      <c r="F149" s="5">
        <f t="shared" si="11"/>
        <v>1.9497880072528839</v>
      </c>
      <c r="G149" s="2">
        <f t="shared" si="12"/>
        <v>0</v>
      </c>
    </row>
    <row r="150" spans="1:7" x14ac:dyDescent="0.4">
      <c r="A150" s="1">
        <v>43921</v>
      </c>
      <c r="B150">
        <v>7.3431034871846403</v>
      </c>
      <c r="C150" s="3">
        <f>[1]!i_dq_close("881001.WI",A150)</f>
        <v>4023.3092000000001</v>
      </c>
      <c r="D150" s="2">
        <f t="shared" si="9"/>
        <v>7.3431034871846403</v>
      </c>
      <c r="E150" s="2">
        <f t="shared" si="10"/>
        <v>2.4852758567736202</v>
      </c>
      <c r="F150" s="5">
        <f t="shared" si="11"/>
        <v>2.2153976316505126</v>
      </c>
      <c r="G150" s="2">
        <f t="shared" si="12"/>
        <v>1</v>
      </c>
    </row>
    <row r="151" spans="1:7" x14ac:dyDescent="0.4">
      <c r="A151" s="1">
        <v>43951</v>
      </c>
      <c r="B151">
        <v>7.70229351144887</v>
      </c>
      <c r="C151" s="3">
        <f>[1]!i_dq_close("881001.WI",A151)</f>
        <v>4233.8173999999999</v>
      </c>
      <c r="D151" s="2">
        <f t="shared" si="9"/>
        <v>7.70229351144887</v>
      </c>
      <c r="E151" s="2">
        <f t="shared" si="10"/>
        <v>2.6153108406900616</v>
      </c>
      <c r="F151" s="5">
        <f t="shared" si="11"/>
        <v>2.2044432066613782</v>
      </c>
      <c r="G151" s="2">
        <f t="shared" si="12"/>
        <v>0</v>
      </c>
    </row>
    <row r="152" spans="1:7" x14ac:dyDescent="0.4">
      <c r="A152" s="1">
        <v>43982</v>
      </c>
      <c r="B152">
        <v>8.1889951874236999</v>
      </c>
      <c r="C152" s="3">
        <f>[1]!i_dq_close("881001.WI",A152)</f>
        <v>4258.3734999999997</v>
      </c>
      <c r="D152" s="2">
        <f t="shared" si="9"/>
        <v>8.1889951874236999</v>
      </c>
      <c r="E152" s="2">
        <f t="shared" si="10"/>
        <v>2.6304796182889891</v>
      </c>
      <c r="F152" s="5">
        <f t="shared" si="11"/>
        <v>2.3883436326064356</v>
      </c>
      <c r="G152" s="2">
        <f t="shared" si="12"/>
        <v>1</v>
      </c>
    </row>
    <row r="153" spans="1:7" x14ac:dyDescent="0.4">
      <c r="A153" s="1">
        <v>44012</v>
      </c>
      <c r="B153">
        <v>9.0615203708775507</v>
      </c>
      <c r="C153" s="3">
        <f>[1]!i_dq_close("881001.WI",A153)</f>
        <v>4616.4142000000002</v>
      </c>
      <c r="D153" s="2">
        <f t="shared" si="9"/>
        <v>9.0615203708775507</v>
      </c>
      <c r="E153" s="2">
        <f t="shared" si="10"/>
        <v>2.8516482790154201</v>
      </c>
      <c r="F153" s="5">
        <f t="shared" si="11"/>
        <v>2.4644773045062203</v>
      </c>
      <c r="G153" s="2">
        <f t="shared" si="12"/>
        <v>1</v>
      </c>
    </row>
    <row r="154" spans="1:7" x14ac:dyDescent="0.4">
      <c r="A154" s="1">
        <v>44043</v>
      </c>
      <c r="B154">
        <v>10.4681841022181</v>
      </c>
      <c r="C154" s="3">
        <f>[1]!i_dq_close("881001.WI",A154)</f>
        <v>5219.4997999999996</v>
      </c>
      <c r="D154" s="2">
        <f t="shared" si="9"/>
        <v>10.4681841022181</v>
      </c>
      <c r="E154" s="2">
        <f t="shared" si="10"/>
        <v>3.2241859107857622</v>
      </c>
      <c r="F154" s="5">
        <f t="shared" si="11"/>
        <v>2.5496876594920455</v>
      </c>
      <c r="G154" s="2">
        <f t="shared" si="12"/>
        <v>1</v>
      </c>
    </row>
    <row r="155" spans="1:7" x14ac:dyDescent="0.4">
      <c r="A155" s="1">
        <v>44074</v>
      </c>
      <c r="B155">
        <v>10.743687055672501</v>
      </c>
      <c r="C155" s="3">
        <f>[1]!i_dq_close("881001.WI",A155)</f>
        <v>5322.2440999999999</v>
      </c>
      <c r="D155" s="2">
        <f t="shared" si="9"/>
        <v>10.743687055672501</v>
      </c>
      <c r="E155" s="2">
        <f t="shared" si="10"/>
        <v>3.2876530507736876</v>
      </c>
      <c r="F155" s="5">
        <f t="shared" si="11"/>
        <v>2.5732342297685311</v>
      </c>
      <c r="G155" s="2">
        <f t="shared" si="12"/>
        <v>1</v>
      </c>
    </row>
    <row r="156" spans="1:7" x14ac:dyDescent="0.4">
      <c r="A156" s="1">
        <v>44104</v>
      </c>
      <c r="B156">
        <v>10.0181098095581</v>
      </c>
      <c r="C156" s="3">
        <f>[1]!i_dq_close("881001.WI",A156)</f>
        <v>5004.5430999999999</v>
      </c>
      <c r="D156" s="2">
        <f t="shared" si="9"/>
        <v>10.0181098095581</v>
      </c>
      <c r="E156" s="2">
        <f t="shared" si="10"/>
        <v>3.0914030024371502</v>
      </c>
      <c r="F156" s="5">
        <f t="shared" si="11"/>
        <v>2.5452123383693586</v>
      </c>
      <c r="G156" s="2">
        <f t="shared" si="12"/>
        <v>0</v>
      </c>
    </row>
    <row r="157" spans="1:7" x14ac:dyDescent="0.4">
      <c r="A157" s="1">
        <v>44135</v>
      </c>
      <c r="B157">
        <v>10.3535083065221</v>
      </c>
      <c r="C157" s="3">
        <f>[1]!i_dq_close("881001.WI",A157)</f>
        <v>5057.2464</v>
      </c>
      <c r="D157" s="2">
        <f t="shared" si="9"/>
        <v>10.3535083065221</v>
      </c>
      <c r="E157" s="2">
        <f t="shared" si="10"/>
        <v>3.1239588495150472</v>
      </c>
      <c r="F157" s="5">
        <f t="shared" si="11"/>
        <v>2.6265683257045094</v>
      </c>
      <c r="G157" s="2">
        <f t="shared" si="12"/>
        <v>1</v>
      </c>
    </row>
    <row r="158" spans="1:7" x14ac:dyDescent="0.4">
      <c r="A158" s="1">
        <v>44165</v>
      </c>
      <c r="B158">
        <v>10.9516991346933</v>
      </c>
      <c r="C158" s="3">
        <f>[1]!i_dq_close("881001.WI",A158)</f>
        <v>5258.6579000000002</v>
      </c>
      <c r="D158" s="2">
        <f t="shared" si="9"/>
        <v>10.9516991346933</v>
      </c>
      <c r="E158" s="2">
        <f t="shared" si="10"/>
        <v>3.2483746260172759</v>
      </c>
      <c r="F158" s="5">
        <f t="shared" si="11"/>
        <v>2.6916663643715082</v>
      </c>
      <c r="G158" s="2">
        <f t="shared" si="12"/>
        <v>1</v>
      </c>
    </row>
    <row r="159" spans="1:7" x14ac:dyDescent="0.4">
      <c r="A159" s="1">
        <v>44196</v>
      </c>
      <c r="B159">
        <v>11.9091428980659</v>
      </c>
      <c r="C159" s="3">
        <f>[1]!i_dq_close("881001.WI",A159)</f>
        <v>5422.1970000000001</v>
      </c>
      <c r="D159" s="2">
        <f t="shared" si="9"/>
        <v>11.9091428980659</v>
      </c>
      <c r="E159" s="2">
        <f t="shared" si="10"/>
        <v>3.3493958890284525</v>
      </c>
      <c r="F159" s="5">
        <f t="shared" si="11"/>
        <v>2.8996002187185428</v>
      </c>
      <c r="G159" s="2">
        <f t="shared" si="12"/>
        <v>1</v>
      </c>
    </row>
    <row r="160" spans="1:7" x14ac:dyDescent="0.4">
      <c r="A160" s="1">
        <v>44227</v>
      </c>
      <c r="B160">
        <v>12.783726875508499</v>
      </c>
      <c r="C160" s="3">
        <f>[1]!i_dq_close("881001.WI",A160)</f>
        <v>5416.5438999999997</v>
      </c>
      <c r="D160" s="2">
        <f t="shared" si="9"/>
        <v>12.783726875508499</v>
      </c>
      <c r="E160" s="2">
        <f t="shared" si="10"/>
        <v>3.3459038598933497</v>
      </c>
      <c r="F160" s="5">
        <f t="shared" si="11"/>
        <v>3.1900448351246595</v>
      </c>
      <c r="G160" s="2">
        <f t="shared" si="12"/>
        <v>1</v>
      </c>
    </row>
    <row r="161" spans="1:7" x14ac:dyDescent="0.4">
      <c r="A161" s="1">
        <v>44255</v>
      </c>
      <c r="B161">
        <v>12.045354116093</v>
      </c>
      <c r="C161" s="3">
        <f>[1]!i_dq_close("881001.WI",A161)</f>
        <v>5416.1647999999996</v>
      </c>
      <c r="D161" s="2">
        <f t="shared" si="9"/>
        <v>12.045354116093</v>
      </c>
      <c r="E161" s="2">
        <f t="shared" si="10"/>
        <v>3.3456696824959713</v>
      </c>
      <c r="F161" s="5">
        <f t="shared" si="11"/>
        <v>2.9483261200621675</v>
      </c>
      <c r="G161" s="2">
        <f t="shared" si="12"/>
        <v>0</v>
      </c>
    </row>
    <row r="162" spans="1:7" x14ac:dyDescent="0.4">
      <c r="A162" s="1">
        <v>44286</v>
      </c>
      <c r="B162">
        <v>12.034564802350699</v>
      </c>
      <c r="C162" s="3">
        <f>[1]!i_dq_close("881001.WI",A162)</f>
        <v>5246.2335000000003</v>
      </c>
      <c r="D162" s="2">
        <f t="shared" si="9"/>
        <v>12.034564802350699</v>
      </c>
      <c r="E162" s="2">
        <f t="shared" si="10"/>
        <v>3.2406998339941082</v>
      </c>
      <c r="F162" s="5">
        <f t="shared" si="11"/>
        <v>3.0686676066368603</v>
      </c>
      <c r="G162" s="2">
        <f t="shared" si="12"/>
        <v>1</v>
      </c>
    </row>
    <row r="163" spans="1:7" x14ac:dyDescent="0.4">
      <c r="A163" s="1">
        <v>44316</v>
      </c>
      <c r="B163">
        <v>13.0111679942679</v>
      </c>
      <c r="C163" s="3">
        <f>[1]!i_dq_close("881001.WI",A163)</f>
        <v>5362.4198999999999</v>
      </c>
      <c r="D163" s="2">
        <f t="shared" si="9"/>
        <v>13.0111679942679</v>
      </c>
      <c r="E163" s="2">
        <f t="shared" si="10"/>
        <v>3.3124704189656637</v>
      </c>
      <c r="F163" s="5">
        <f t="shared" si="11"/>
        <v>3.3087321119343525</v>
      </c>
      <c r="G163" s="2">
        <f t="shared" si="12"/>
        <v>1</v>
      </c>
    </row>
    <row r="164" spans="1:7" x14ac:dyDescent="0.4">
      <c r="A164" s="1">
        <v>44347</v>
      </c>
      <c r="B164">
        <v>14.1205803128599</v>
      </c>
      <c r="C164" s="3">
        <f>[1]!i_dq_close("881001.WI",A164)</f>
        <v>5637.7843999999996</v>
      </c>
      <c r="D164" s="2">
        <f t="shared" si="9"/>
        <v>14.1205803128599</v>
      </c>
      <c r="E164" s="2">
        <f t="shared" si="10"/>
        <v>3.482568392957456</v>
      </c>
      <c r="F164" s="5">
        <f t="shared" si="11"/>
        <v>3.4548643498409231</v>
      </c>
      <c r="G164" s="2">
        <f t="shared" si="12"/>
        <v>1</v>
      </c>
    </row>
    <row r="165" spans="1:7" x14ac:dyDescent="0.4">
      <c r="A165" s="1">
        <v>44377</v>
      </c>
      <c r="B165">
        <v>15.0455010887905</v>
      </c>
      <c r="C165" s="3">
        <f>[1]!i_dq_close("881001.WI",A165)</f>
        <v>5717.8270000000002</v>
      </c>
      <c r="D165" s="2">
        <f t="shared" si="9"/>
        <v>15.0455010887905</v>
      </c>
      <c r="E165" s="2">
        <f t="shared" si="10"/>
        <v>3.5320122540689485</v>
      </c>
      <c r="F165" s="5">
        <f t="shared" si="11"/>
        <v>3.6834170871031837</v>
      </c>
      <c r="G165" s="2">
        <f t="shared" si="12"/>
        <v>1</v>
      </c>
    </row>
    <row r="166" spans="1:7" x14ac:dyDescent="0.4">
      <c r="A166" s="1">
        <v>44408</v>
      </c>
      <c r="B166">
        <v>14.850459688782999</v>
      </c>
      <c r="C166" s="3">
        <f>[1]!i_dq_close("881001.WI",A166)</f>
        <v>5540.7776000000003</v>
      </c>
      <c r="D166" s="2">
        <f t="shared" si="9"/>
        <v>14.850459688782999</v>
      </c>
      <c r="E166" s="2">
        <f t="shared" si="10"/>
        <v>3.4226454176159473</v>
      </c>
      <c r="F166" s="5">
        <f t="shared" si="11"/>
        <v>3.7677233666876386</v>
      </c>
      <c r="G166" s="2">
        <f t="shared" si="12"/>
        <v>1</v>
      </c>
    </row>
    <row r="167" spans="1:7" x14ac:dyDescent="0.4">
      <c r="A167" s="1">
        <v>44439</v>
      </c>
      <c r="B167">
        <v>15.214607927343399</v>
      </c>
      <c r="C167" s="3">
        <f>[1]!i_dq_close("881001.WI",A167)</f>
        <v>5719.3780999999999</v>
      </c>
      <c r="D167" s="2">
        <f t="shared" si="9"/>
        <v>15.214607927343399</v>
      </c>
      <c r="E167" s="2">
        <f t="shared" si="10"/>
        <v>3.5329703985191538</v>
      </c>
      <c r="F167" s="5">
        <f t="shared" si="11"/>
        <v>3.7309507498522398</v>
      </c>
      <c r="G167" s="2">
        <f t="shared" si="12"/>
        <v>0</v>
      </c>
    </row>
    <row r="168" spans="1:7" x14ac:dyDescent="0.4">
      <c r="A168" s="1">
        <v>44469</v>
      </c>
      <c r="B168">
        <v>15.645114791984399</v>
      </c>
      <c r="C168" s="3">
        <f>[1]!i_dq_close("881001.WI",A168)</f>
        <v>5660.4206999999997</v>
      </c>
      <c r="D168" s="2">
        <f t="shared" si="9"/>
        <v>15.645114791984399</v>
      </c>
      <c r="E168" s="2">
        <f t="shared" si="10"/>
        <v>3.4965512729898145</v>
      </c>
      <c r="F168" s="5">
        <f t="shared" si="11"/>
        <v>3.91358430218847</v>
      </c>
      <c r="G168" s="2">
        <f t="shared" si="12"/>
        <v>1</v>
      </c>
    </row>
    <row r="169" spans="1:7" x14ac:dyDescent="0.4">
      <c r="A169" s="1">
        <v>44500</v>
      </c>
      <c r="B169">
        <v>14.635631728639501</v>
      </c>
      <c r="C169" s="3">
        <f>[1]!i_dq_close("881001.WI",A169)</f>
        <v>5679.8950000000004</v>
      </c>
      <c r="D169" s="2">
        <f t="shared" si="9"/>
        <v>14.635631728639501</v>
      </c>
      <c r="E169" s="2">
        <f t="shared" si="10"/>
        <v>3.5085809245059267</v>
      </c>
      <c r="F169" s="5">
        <f t="shared" si="11"/>
        <v>3.579636059232179</v>
      </c>
      <c r="G169" s="2">
        <f t="shared" si="12"/>
        <v>0</v>
      </c>
    </row>
    <row r="170" spans="1:7" x14ac:dyDescent="0.4">
      <c r="A170" s="1">
        <v>44530</v>
      </c>
      <c r="B170">
        <v>16.4322588735923</v>
      </c>
      <c r="C170" s="3">
        <f>[1]!i_dq_close("881001.WI",A170)</f>
        <v>5858.5244000000002</v>
      </c>
      <c r="D170" s="2">
        <f t="shared" si="9"/>
        <v>16.4322588735923</v>
      </c>
      <c r="E170" s="2">
        <f t="shared" si="10"/>
        <v>3.6189237574977233</v>
      </c>
      <c r="F170" s="5">
        <f t="shared" si="11"/>
        <v>3.9977918297135169</v>
      </c>
      <c r="G170" s="2">
        <f t="shared" si="12"/>
        <v>1</v>
      </c>
    </row>
    <row r="171" spans="1:7" x14ac:dyDescent="0.4">
      <c r="A171" s="1">
        <v>44561</v>
      </c>
      <c r="B171">
        <v>17.521864823593798</v>
      </c>
      <c r="C171" s="3">
        <f>[1]!i_dq_close("881001.WI",A171)</f>
        <v>5919.3984</v>
      </c>
      <c r="D171" s="2">
        <f t="shared" si="9"/>
        <v>17.521864823593798</v>
      </c>
      <c r="E171" s="2">
        <f t="shared" si="10"/>
        <v>3.6565268038917802</v>
      </c>
      <c r="F171" s="5">
        <f t="shared" si="11"/>
        <v>4.2772597831566816</v>
      </c>
      <c r="G171" s="2">
        <f t="shared" si="12"/>
        <v>1</v>
      </c>
    </row>
    <row r="172" spans="1:7" x14ac:dyDescent="0.4">
      <c r="A172" s="1">
        <v>44592</v>
      </c>
      <c r="B172">
        <v>16.820136303639199</v>
      </c>
      <c r="C172" s="3">
        <f>[1]!i_dq_close("881001.WI",A172)</f>
        <v>5359.2461000000003</v>
      </c>
      <c r="D172" s="2">
        <f t="shared" si="9"/>
        <v>16.820136303639199</v>
      </c>
      <c r="E172" s="2">
        <f t="shared" si="10"/>
        <v>3.3105099013613426</v>
      </c>
      <c r="F172" s="5">
        <f t="shared" si="11"/>
        <v>4.5652989677876263</v>
      </c>
      <c r="G172" s="2">
        <f t="shared" si="12"/>
        <v>1</v>
      </c>
    </row>
    <row r="173" spans="1:7" x14ac:dyDescent="0.4">
      <c r="A173" s="1">
        <v>44620</v>
      </c>
      <c r="B173">
        <v>17.4494217997748</v>
      </c>
      <c r="C173" s="3">
        <f>[1]!i_dq_close("881001.WI",A173)</f>
        <v>5510.0757000000003</v>
      </c>
      <c r="D173" s="2">
        <f t="shared" si="9"/>
        <v>17.4494217997748</v>
      </c>
      <c r="E173" s="2">
        <f t="shared" si="10"/>
        <v>3.4036802605688385</v>
      </c>
      <c r="F173" s="5">
        <f t="shared" si="11"/>
        <v>4.6168827130852979</v>
      </c>
      <c r="G173" s="2">
        <f t="shared" si="12"/>
        <v>1</v>
      </c>
    </row>
    <row r="174" spans="1:7" x14ac:dyDescent="0.4">
      <c r="A174" s="1">
        <v>44651</v>
      </c>
      <c r="B174">
        <v>17.411702587138901</v>
      </c>
      <c r="C174" s="3">
        <f>[1]!i_dq_close("881001.WI",A174)</f>
        <v>5095.6079</v>
      </c>
      <c r="D174" s="2">
        <f t="shared" si="9"/>
        <v>17.411702587138901</v>
      </c>
      <c r="E174" s="2">
        <f t="shared" si="10"/>
        <v>3.1476554895295958</v>
      </c>
      <c r="F174" s="5">
        <f t="shared" si="11"/>
        <v>5.0272429064923498</v>
      </c>
      <c r="G174" s="2">
        <f t="shared" si="12"/>
        <v>1</v>
      </c>
    </row>
    <row r="175" spans="1:7" x14ac:dyDescent="0.4">
      <c r="A175" s="1">
        <v>44681</v>
      </c>
      <c r="B175">
        <v>16.425491110562799</v>
      </c>
      <c r="C175" s="3">
        <f>[1]!i_dq_close("881001.WI",A175)</f>
        <v>4610.7866000000004</v>
      </c>
      <c r="D175" s="2">
        <f t="shared" si="9"/>
        <v>16.425491110562799</v>
      </c>
      <c r="E175" s="2">
        <f t="shared" si="10"/>
        <v>2.8481720017231904</v>
      </c>
      <c r="F175" s="5">
        <f t="shared" si="11"/>
        <v>5.2593171474426992</v>
      </c>
      <c r="G175" s="2">
        <f t="shared" si="12"/>
        <v>1</v>
      </c>
    </row>
    <row r="176" spans="1:7" x14ac:dyDescent="0.4">
      <c r="A176" s="1">
        <v>44712</v>
      </c>
      <c r="B176">
        <v>18.4034637373477</v>
      </c>
      <c r="C176" s="3">
        <f>[1]!i_dq_close("881001.WI",A176)</f>
        <v>4882.7133999999996</v>
      </c>
      <c r="D176" s="2">
        <f t="shared" si="9"/>
        <v>18.4034637373477</v>
      </c>
      <c r="E176" s="2">
        <f t="shared" si="10"/>
        <v>3.0161464419799091</v>
      </c>
      <c r="F176" s="5">
        <f t="shared" si="11"/>
        <v>5.6439189167856822</v>
      </c>
      <c r="G176" s="2">
        <f t="shared" si="12"/>
        <v>1</v>
      </c>
    </row>
    <row r="177" spans="1:7" x14ac:dyDescent="0.4">
      <c r="A177" s="1">
        <v>44742</v>
      </c>
      <c r="B177">
        <v>21.386235865107501</v>
      </c>
      <c r="C177" s="3">
        <f>[1]!i_dq_close("881001.WI",A177)</f>
        <v>5355.3599000000004</v>
      </c>
      <c r="D177" s="2">
        <f t="shared" si="9"/>
        <v>21.386235865107501</v>
      </c>
      <c r="E177" s="2">
        <f t="shared" si="10"/>
        <v>3.3081093205075036</v>
      </c>
      <c r="F177" s="5">
        <f t="shared" si="11"/>
        <v>6.0776120363739645</v>
      </c>
      <c r="G177" s="2">
        <f t="shared" si="12"/>
        <v>1</v>
      </c>
    </row>
    <row r="178" spans="1:7" x14ac:dyDescent="0.4">
      <c r="A178" s="1">
        <v>44773</v>
      </c>
      <c r="B178">
        <v>23.542701144833799</v>
      </c>
      <c r="C178" s="3">
        <f>[1]!i_dq_close("881001.WI",A178)</f>
        <v>5212.4263000000001</v>
      </c>
      <c r="D178" s="2">
        <f t="shared" si="9"/>
        <v>23.542701144833799</v>
      </c>
      <c r="E178" s="2">
        <f t="shared" si="10"/>
        <v>3.2198164731166696</v>
      </c>
      <c r="F178" s="5">
        <f t="shared" si="11"/>
        <v>6.9801780147898844</v>
      </c>
      <c r="G178" s="2">
        <f t="shared" si="12"/>
        <v>1</v>
      </c>
    </row>
    <row r="179" spans="1:7" x14ac:dyDescent="0.4">
      <c r="A179" s="1">
        <v>44804</v>
      </c>
      <c r="B179">
        <v>23.956819934844301</v>
      </c>
      <c r="C179" s="3">
        <f>[1]!i_dq_close("881001.WI",A179)</f>
        <v>5063.1030000000001</v>
      </c>
      <c r="D179" s="2">
        <f t="shared" si="9"/>
        <v>23.956819934844301</v>
      </c>
      <c r="E179" s="2">
        <f t="shared" si="10"/>
        <v>3.1275765845334695</v>
      </c>
      <c r="F179" s="5">
        <f t="shared" si="11"/>
        <v>7.3491628893159149</v>
      </c>
      <c r="G179" s="2">
        <f t="shared" si="12"/>
        <v>1</v>
      </c>
    </row>
    <row r="180" spans="1:7" x14ac:dyDescent="0.4">
      <c r="A180" s="1">
        <v>44834</v>
      </c>
      <c r="B180">
        <v>22.041735042516301</v>
      </c>
      <c r="C180" s="3">
        <f>[1]!i_dq_close("881001.WI",A180)</f>
        <v>4679.8783999999996</v>
      </c>
      <c r="D180" s="2">
        <f t="shared" si="9"/>
        <v>22.041735042516301</v>
      </c>
      <c r="E180" s="2">
        <f t="shared" si="10"/>
        <v>2.8908513420137725</v>
      </c>
      <c r="F180" s="5">
        <f t="shared" si="11"/>
        <v>7.3136843175596056</v>
      </c>
      <c r="G180" s="2">
        <f t="shared" si="12"/>
        <v>0</v>
      </c>
    </row>
    <row r="181" spans="1:7" x14ac:dyDescent="0.4">
      <c r="A181" s="1">
        <v>44865</v>
      </c>
      <c r="B181">
        <v>22.524535939065199</v>
      </c>
      <c r="C181" s="3">
        <f>[1]!i_dq_close("881001.WI",A181)</f>
        <v>4560.7641999999996</v>
      </c>
      <c r="D181" s="2">
        <f t="shared" si="9"/>
        <v>22.524535939065199</v>
      </c>
      <c r="E181" s="2">
        <f t="shared" si="10"/>
        <v>2.8172721983926694</v>
      </c>
      <c r="F181" s="5">
        <f t="shared" si="11"/>
        <v>7.7073901113183592</v>
      </c>
      <c r="G181" s="2">
        <f t="shared" si="12"/>
        <v>1</v>
      </c>
    </row>
    <row r="182" spans="1:7" x14ac:dyDescent="0.4">
      <c r="A182" s="1">
        <v>44895</v>
      </c>
      <c r="B182">
        <v>25.2188757318516</v>
      </c>
      <c r="C182" s="3">
        <f>[1]!i_dq_close("881001.WI",A182)</f>
        <v>4919.1674999999996</v>
      </c>
      <c r="D182" s="2">
        <f t="shared" si="9"/>
        <v>25.2188757318516</v>
      </c>
      <c r="E182" s="2">
        <f t="shared" si="10"/>
        <v>3.0386648441475601</v>
      </c>
      <c r="F182" s="5">
        <f t="shared" si="11"/>
        <v>8.0646887067542004</v>
      </c>
      <c r="G182" s="2">
        <f t="shared" si="12"/>
        <v>1</v>
      </c>
    </row>
    <row r="183" spans="1:7" x14ac:dyDescent="0.4">
      <c r="A183" s="1">
        <v>44926</v>
      </c>
      <c r="B183">
        <v>25.150494414885699</v>
      </c>
      <c r="C183" s="3">
        <f>[1]!i_dq_close("881001.WI",A183)</f>
        <v>4815.1133</v>
      </c>
      <c r="D183" s="2">
        <f t="shared" si="9"/>
        <v>25.150494414885699</v>
      </c>
      <c r="E183" s="2">
        <f t="shared" si="10"/>
        <v>2.9743885536114281</v>
      </c>
      <c r="F183" s="5">
        <f t="shared" si="11"/>
        <v>8.2318532921498484</v>
      </c>
      <c r="G183" s="2">
        <f t="shared" si="12"/>
        <v>1</v>
      </c>
    </row>
    <row r="184" spans="1:7" x14ac:dyDescent="0.4">
      <c r="A184" s="1">
        <v>44957</v>
      </c>
      <c r="B184">
        <v>27.1487032038481</v>
      </c>
      <c r="C184" s="3">
        <f>[1]!i_dq_close("881001.WI",A184)</f>
        <v>5170.5684000000001</v>
      </c>
      <c r="D184" s="2">
        <f t="shared" si="9"/>
        <v>27.1487032038481</v>
      </c>
      <c r="E184" s="2">
        <f t="shared" si="10"/>
        <v>3.1939600392424738</v>
      </c>
      <c r="F184" s="5">
        <f t="shared" si="11"/>
        <v>8.2838227750418003</v>
      </c>
      <c r="G184" s="2">
        <f t="shared" si="12"/>
        <v>1</v>
      </c>
    </row>
    <row r="185" spans="1:7" x14ac:dyDescent="0.4">
      <c r="A185" s="1">
        <v>44985</v>
      </c>
      <c r="B185">
        <v>27.371373728640599</v>
      </c>
      <c r="C185" s="3">
        <f>[1]!i_dq_close("881001.WI",A185)</f>
        <v>5169.3423000000003</v>
      </c>
      <c r="D185" s="2">
        <f t="shared" si="9"/>
        <v>27.371373728640599</v>
      </c>
      <c r="E185" s="2">
        <f t="shared" si="10"/>
        <v>3.1932026535739824</v>
      </c>
      <c r="F185" s="5">
        <f t="shared" si="11"/>
        <v>8.3621690945516018</v>
      </c>
      <c r="G185" s="2">
        <f t="shared" si="12"/>
        <v>1</v>
      </c>
    </row>
    <row r="186" spans="1:7" x14ac:dyDescent="0.4">
      <c r="A186" s="1">
        <v>45016</v>
      </c>
      <c r="B186">
        <v>26.889483114994999</v>
      </c>
      <c r="C186" s="3">
        <f>[1]!i_dq_close("881001.WI",A186)</f>
        <v>5126.6400999999996</v>
      </c>
      <c r="D186" s="2">
        <f t="shared" si="9"/>
        <v>26.889483114994999</v>
      </c>
      <c r="E186" s="2">
        <f t="shared" si="10"/>
        <v>3.1668246792708588</v>
      </c>
      <c r="F186" s="5">
        <f t="shared" si="11"/>
        <v>8.2746798283159126</v>
      </c>
      <c r="G186" s="2">
        <f t="shared" si="12"/>
        <v>0</v>
      </c>
    </row>
    <row r="187" spans="1:7" x14ac:dyDescent="0.4">
      <c r="A187" s="1">
        <v>45046</v>
      </c>
      <c r="B187">
        <v>28.0112144312046</v>
      </c>
      <c r="C187" s="3">
        <f>[1]!i_dq_close("881001.WI",A187)</f>
        <v>5052.5780999999997</v>
      </c>
      <c r="D187" s="2">
        <f t="shared" si="9"/>
        <v>28.0112144312046</v>
      </c>
      <c r="E187" s="2">
        <f t="shared" si="10"/>
        <v>3.1210751503745047</v>
      </c>
      <c r="F187" s="5">
        <f t="shared" si="11"/>
        <v>8.7955723474747529</v>
      </c>
      <c r="G187" s="2">
        <f t="shared" si="12"/>
        <v>1</v>
      </c>
    </row>
    <row r="188" spans="1:7" x14ac:dyDescent="0.4">
      <c r="A188" s="1">
        <v>45077</v>
      </c>
      <c r="B188">
        <v>27.890527957135799</v>
      </c>
      <c r="C188" s="3">
        <f>[1]!i_dq_close("881001.WI",A188)</f>
        <v>4885.2329</v>
      </c>
      <c r="D188" s="2">
        <f t="shared" si="9"/>
        <v>27.890527957135799</v>
      </c>
      <c r="E188" s="2">
        <f t="shared" si="10"/>
        <v>3.0177027858276904</v>
      </c>
      <c r="F188" s="5">
        <f t="shared" si="11"/>
        <v>9.0778048183726003</v>
      </c>
      <c r="G188" s="2">
        <f t="shared" si="12"/>
        <v>1</v>
      </c>
    </row>
    <row r="189" spans="1:7" x14ac:dyDescent="0.4">
      <c r="A189" s="1">
        <v>45107</v>
      </c>
      <c r="B189">
        <v>28.285986986946799</v>
      </c>
      <c r="C189" s="3">
        <f>[1]!i_dq_close("881001.WI",A189)</f>
        <v>4962.3573999999999</v>
      </c>
      <c r="D189" s="2">
        <f t="shared" si="9"/>
        <v>28.285986986946799</v>
      </c>
      <c r="E189" s="2">
        <f t="shared" si="10"/>
        <v>3.0653440801671206</v>
      </c>
      <c r="F189" s="5">
        <f t="shared" si="11"/>
        <v>9.061596691433488</v>
      </c>
      <c r="G189" s="2">
        <f t="shared" si="12"/>
        <v>0</v>
      </c>
    </row>
    <row r="190" spans="1:7" x14ac:dyDescent="0.4">
      <c r="A190" s="1">
        <v>45138</v>
      </c>
      <c r="B190">
        <v>28.805893982960999</v>
      </c>
      <c r="C190" s="3">
        <f>[1]!i_dq_close("881001.WI",A190)</f>
        <v>5085.0405000000001</v>
      </c>
      <c r="D190" s="2">
        <f t="shared" si="9"/>
        <v>28.805893982960999</v>
      </c>
      <c r="E190" s="2">
        <f t="shared" si="10"/>
        <v>3.1411278022991764</v>
      </c>
      <c r="F190" s="5">
        <f t="shared" si="11"/>
        <v>8.9977822970149148</v>
      </c>
      <c r="G190" s="2">
        <f t="shared" si="12"/>
        <v>0</v>
      </c>
    </row>
    <row r="191" spans="1:7" x14ac:dyDescent="0.4">
      <c r="A191" s="1">
        <v>45169</v>
      </c>
      <c r="B191">
        <v>27.257365344726399</v>
      </c>
      <c r="C191" s="3">
        <f>[1]!i_dq_close("881001.WI",A191)</f>
        <v>4799.5811000000003</v>
      </c>
      <c r="D191" s="2">
        <f t="shared" si="9"/>
        <v>27.257365344726399</v>
      </c>
      <c r="E191" s="2">
        <f t="shared" si="10"/>
        <v>2.9647940134596102</v>
      </c>
      <c r="F191" s="5">
        <f t="shared" si="11"/>
        <v>9.0215744269139666</v>
      </c>
      <c r="G191" s="2">
        <f t="shared" si="12"/>
        <v>1</v>
      </c>
    </row>
    <row r="192" spans="1:7" x14ac:dyDescent="0.4">
      <c r="A192" s="1">
        <v>45199</v>
      </c>
      <c r="B192">
        <v>26.5795694531107</v>
      </c>
      <c r="C192" s="3">
        <f>[1]!i_dq_close("881001.WI",A192)</f>
        <v>4747.2548999999999</v>
      </c>
      <c r="D192" s="2">
        <f t="shared" si="9"/>
        <v>26.5795694531107</v>
      </c>
      <c r="E192" s="2">
        <f t="shared" si="10"/>
        <v>2.932471108340434</v>
      </c>
      <c r="F192" s="5">
        <f t="shared" si="11"/>
        <v>8.8816303606382796</v>
      </c>
      <c r="G192" s="2">
        <f t="shared" si="12"/>
        <v>0</v>
      </c>
    </row>
    <row r="193" spans="1:7" x14ac:dyDescent="0.4">
      <c r="A193" s="1">
        <v>45230</v>
      </c>
      <c r="B193">
        <v>25.712362102010701</v>
      </c>
      <c r="C193" s="3">
        <f>[1]!i_dq_close("881001.WI",A193)</f>
        <v>4644.6112999999996</v>
      </c>
      <c r="D193" s="2">
        <f t="shared" si="9"/>
        <v>25.712362102010701</v>
      </c>
      <c r="E193" s="2">
        <f t="shared" si="10"/>
        <v>2.869066172688874</v>
      </c>
      <c r="F193" s="5">
        <f t="shared" si="11"/>
        <v>8.7728813858995505</v>
      </c>
      <c r="G193" s="2">
        <f t="shared" si="12"/>
        <v>0</v>
      </c>
    </row>
    <row r="194" spans="1:7" x14ac:dyDescent="0.4">
      <c r="A194" s="1">
        <v>45260</v>
      </c>
      <c r="B194">
        <v>25.8893833985966</v>
      </c>
      <c r="C194" s="3">
        <f>[1]!i_dq_close("881001.WI",A194)</f>
        <v>4660.8900999999996</v>
      </c>
      <c r="D194" s="2">
        <f t="shared" si="9"/>
        <v>25.8893833985966</v>
      </c>
      <c r="E194" s="2">
        <f t="shared" si="10"/>
        <v>2.8791219020912395</v>
      </c>
      <c r="F194" s="5">
        <f t="shared" si="11"/>
        <v>8.805911747811793</v>
      </c>
      <c r="G194" s="2">
        <f t="shared" si="12"/>
        <v>1</v>
      </c>
    </row>
    <row r="195" spans="1:7" x14ac:dyDescent="0.4">
      <c r="A195" s="1">
        <v>45291</v>
      </c>
      <c r="B195">
        <v>26.430760232510298</v>
      </c>
      <c r="C195" s="3">
        <f>[1]!i_dq_close("881001.WI",A195)</f>
        <v>4565.1778999999997</v>
      </c>
      <c r="D195" s="2">
        <f t="shared" si="9"/>
        <v>26.430760232510298</v>
      </c>
      <c r="E195" s="2">
        <f t="shared" si="10"/>
        <v>2.8199986261922136</v>
      </c>
      <c r="F195" s="5">
        <f t="shared" si="11"/>
        <v>9.2123307865031414</v>
      </c>
      <c r="G195" s="2">
        <f t="shared" si="12"/>
        <v>1</v>
      </c>
    </row>
    <row r="196" spans="1:7" x14ac:dyDescent="0.4">
      <c r="A196" s="1">
        <v>45322</v>
      </c>
      <c r="B196">
        <v>24.851542166565999</v>
      </c>
      <c r="C196" s="3">
        <f>[1]!i_dq_close("881001.WI",A196)</f>
        <v>3990.2123000000001</v>
      </c>
      <c r="D196" s="2">
        <f t="shared" si="9"/>
        <v>24.851542166565999</v>
      </c>
      <c r="E196" s="2">
        <f t="shared" si="10"/>
        <v>2.4648312619351098</v>
      </c>
      <c r="F196" s="5">
        <f t="shared" si="11"/>
        <v>9.8883532462791397</v>
      </c>
      <c r="G196" s="2">
        <f t="shared" si="12"/>
        <v>1</v>
      </c>
    </row>
    <row r="197" spans="1:7" x14ac:dyDescent="0.4">
      <c r="A197" s="1">
        <v>45351</v>
      </c>
      <c r="B197">
        <v>29.773813851167901</v>
      </c>
      <c r="C197" s="3">
        <f>[1]!i_dq_close("881001.WI",A197)</f>
        <v>4375.9845999999998</v>
      </c>
      <c r="D197" s="2">
        <f t="shared" si="9"/>
        <v>29.773813851167901</v>
      </c>
      <c r="E197" s="2">
        <f t="shared" si="10"/>
        <v>2.703130267987647</v>
      </c>
      <c r="F197" s="5">
        <f t="shared" si="11"/>
        <v>10.992295167618082</v>
      </c>
      <c r="G197" s="2">
        <f t="shared" si="12"/>
        <v>1</v>
      </c>
    </row>
    <row r="198" spans="1:7" x14ac:dyDescent="0.4">
      <c r="A198" s="1">
        <v>45382</v>
      </c>
      <c r="B198">
        <v>29.628769133384001</v>
      </c>
      <c r="C198" s="3">
        <f>[1]!i_dq_close("881001.WI",A198)</f>
        <v>4435.1098000000002</v>
      </c>
      <c r="D198" s="2">
        <f t="shared" si="9"/>
        <v>29.628769133384001</v>
      </c>
      <c r="E198" s="2">
        <f t="shared" si="10"/>
        <v>2.7396530468202838</v>
      </c>
      <c r="F198" s="5">
        <f t="shared" si="11"/>
        <v>10.771842677773973</v>
      </c>
      <c r="G198" s="2">
        <f t="shared" si="12"/>
        <v>0</v>
      </c>
    </row>
    <row r="199" spans="1:7" x14ac:dyDescent="0.4">
      <c r="A199" s="1">
        <v>45412</v>
      </c>
      <c r="B199">
        <v>30.0577688640922</v>
      </c>
      <c r="C199" s="3">
        <f>[1]!i_dq_close("881001.WI",A199)</f>
        <v>4480.3562000000002</v>
      </c>
      <c r="D199" s="2">
        <f t="shared" si="9"/>
        <v>30.0577688640922</v>
      </c>
      <c r="E199" s="2">
        <f t="shared" si="10"/>
        <v>2.7676026226385981</v>
      </c>
      <c r="F199" s="5">
        <f t="shared" si="11"/>
        <v>10.822194315496217</v>
      </c>
      <c r="G199" s="2">
        <f t="shared" si="12"/>
        <v>1</v>
      </c>
    </row>
    <row r="200" spans="1:7" x14ac:dyDescent="0.4">
      <c r="A200" s="1">
        <v>45443</v>
      </c>
      <c r="B200">
        <v>30.338672639035501</v>
      </c>
      <c r="C200" s="3">
        <f>[1]!i_dq_close("881001.WI",A200)</f>
        <v>4426.3293000000003</v>
      </c>
      <c r="D200" s="2">
        <f t="shared" si="9"/>
        <v>30.338672639035501</v>
      </c>
      <c r="E200" s="2">
        <f t="shared" si="10"/>
        <v>2.7342291622576953</v>
      </c>
      <c r="F200" s="5">
        <f t="shared" si="11"/>
        <v>11.075237513089945</v>
      </c>
      <c r="G200" s="2">
        <f t="shared" si="12"/>
        <v>1</v>
      </c>
    </row>
    <row r="201" spans="1:7" x14ac:dyDescent="0.4">
      <c r="A201" s="1">
        <v>45473</v>
      </c>
      <c r="B201">
        <v>29.473813167391398</v>
      </c>
      <c r="C201" s="3">
        <f>[1]!i_dq_close("881001.WI",A201)</f>
        <v>4199.3747000000003</v>
      </c>
      <c r="D201" s="2">
        <f t="shared" si="9"/>
        <v>29.473813167391398</v>
      </c>
      <c r="E201" s="2">
        <f t="shared" si="10"/>
        <v>2.5940349191794567</v>
      </c>
      <c r="F201" s="5">
        <f t="shared" si="11"/>
        <v>11.350153711884106</v>
      </c>
      <c r="G201" s="2">
        <f t="shared" si="12"/>
        <v>1</v>
      </c>
    </row>
    <row r="202" spans="1:7" x14ac:dyDescent="0.4">
      <c r="A202" s="1">
        <v>45504</v>
      </c>
      <c r="B202">
        <v>27.877381543286401</v>
      </c>
      <c r="C202" s="3">
        <f>[1]!i_dq_close("881001.WI",A202)</f>
        <v>4210.7578000000003</v>
      </c>
      <c r="D202" s="2">
        <f t="shared" si="9"/>
        <v>27.877381543286401</v>
      </c>
      <c r="E202" s="2">
        <f t="shared" si="10"/>
        <v>2.6010664800660122</v>
      </c>
      <c r="F202" s="5">
        <f t="shared" si="11"/>
        <v>10.647737819518548</v>
      </c>
      <c r="G202" s="2">
        <f t="shared" si="12"/>
        <v>0</v>
      </c>
    </row>
    <row r="203" spans="1:7" x14ac:dyDescent="0.4">
      <c r="A203" s="1">
        <v>45535</v>
      </c>
      <c r="B203">
        <v>27.603066195422301</v>
      </c>
      <c r="C203" s="3">
        <f>[1]!i_dq_close("881001.WI",A203)</f>
        <v>4043.6315</v>
      </c>
      <c r="D203" s="2">
        <f t="shared" si="9"/>
        <v>27.603066195422301</v>
      </c>
      <c r="E203" s="2">
        <f t="shared" si="10"/>
        <v>2.4978293342801736</v>
      </c>
      <c r="F203" s="5">
        <f t="shared" si="11"/>
        <v>10.995425653377824</v>
      </c>
      <c r="G203" s="2">
        <f t="shared" si="12"/>
        <v>1</v>
      </c>
    </row>
    <row r="204" spans="1:7" x14ac:dyDescent="0.4">
      <c r="A204" s="1">
        <v>45565</v>
      </c>
      <c r="B204">
        <v>32.767126281356703</v>
      </c>
      <c r="C204" s="3">
        <f>[1]!i_dq_close("881001.WI",A204)</f>
        <v>4941.7275</v>
      </c>
      <c r="D204" s="2">
        <f t="shared" si="9"/>
        <v>32.767126281356703</v>
      </c>
      <c r="E204" s="2">
        <f t="shared" si="10"/>
        <v>3.0526005921951658</v>
      </c>
      <c r="F204" s="5">
        <f t="shared" si="11"/>
        <v>10.57536379498737</v>
      </c>
      <c r="G204" s="2">
        <f t="shared" si="12"/>
        <v>0</v>
      </c>
    </row>
    <row r="205" spans="1:7" x14ac:dyDescent="0.4">
      <c r="A205" s="1">
        <v>45596</v>
      </c>
      <c r="B205">
        <v>46.9888674274642</v>
      </c>
      <c r="C205" s="3">
        <f>[1]!i_dq_close("881001.WI",A205)</f>
        <v>5054.3226000000004</v>
      </c>
      <c r="D205" s="2">
        <f t="shared" ref="D205" si="13">B205/B$16</f>
        <v>46.9888674274642</v>
      </c>
      <c r="E205" s="2">
        <f t="shared" ref="E205" si="14">C205/C$16</f>
        <v>3.122152761742814</v>
      </c>
      <c r="F205" s="5">
        <f t="shared" ref="F205" si="15">(F204+1)*(B205/B204-C205/C204+1)-1</f>
        <v>15.335617635404731</v>
      </c>
      <c r="G205" s="2">
        <f t="shared" si="12"/>
        <v>1</v>
      </c>
    </row>
    <row r="206" spans="1:7" x14ac:dyDescent="0.4">
      <c r="A206" s="1">
        <v>45626</v>
      </c>
      <c r="B206">
        <v>44.749013401638997</v>
      </c>
      <c r="C206" s="3">
        <f>[1]!i_dq_close("881001.WI",A206)</f>
        <v>5122.2043999999996</v>
      </c>
      <c r="D206" s="2">
        <f t="shared" ref="D206" si="16">B206/B$16</f>
        <v>44.749013401638997</v>
      </c>
      <c r="E206" s="2">
        <f t="shared" ref="E206" si="17">C206/C$16</f>
        <v>3.1640846616460911</v>
      </c>
      <c r="F206" s="5">
        <f t="shared" ref="F206" si="18">(F205+1)*(B206/B205-C206/C205+1)-1</f>
        <v>14.337540735995848</v>
      </c>
      <c r="G206" s="2">
        <f t="shared" si="12"/>
        <v>0</v>
      </c>
    </row>
    <row r="207" spans="1:7" x14ac:dyDescent="0.4">
      <c r="A207" s="1">
        <v>45657</v>
      </c>
      <c r="B207">
        <v>42.825168377579402</v>
      </c>
      <c r="C207" s="3">
        <f>[1]!i_dq_close("881001.WI",A207)</f>
        <v>5021.8567000000003</v>
      </c>
      <c r="D207" s="2">
        <f t="shared" ref="D207" si="19">B207/B$16</f>
        <v>42.825168377579402</v>
      </c>
      <c r="E207" s="2">
        <f t="shared" ref="E207" si="20">C207/C$16</f>
        <v>3.1020979478004933</v>
      </c>
      <c r="F207" s="5">
        <f t="shared" ref="F207" si="21">(F206+1)*(B207/B206-C207/C206+1)-1</f>
        <v>13.978624296970839</v>
      </c>
      <c r="G207" s="2">
        <f t="shared" si="12"/>
        <v>0</v>
      </c>
    </row>
    <row r="208" spans="1:7" x14ac:dyDescent="0.4">
      <c r="A208" s="1">
        <v>45688</v>
      </c>
      <c r="B208">
        <v>42.084412133172599</v>
      </c>
      <c r="C208" s="3">
        <f>[1]!i_dq_close("881001.WI",A208)</f>
        <v>4905.415</v>
      </c>
      <c r="D208" s="2">
        <f t="shared" ref="D208" si="22">B208/B$16</f>
        <v>42.084412133172599</v>
      </c>
      <c r="E208" s="2">
        <f t="shared" ref="E208" si="23">C208/C$16</f>
        <v>3.0301696590844092</v>
      </c>
      <c r="F208" s="5">
        <f t="shared" ref="F208" si="24">(F207+1)*(B208/B207-C208/C207+1)-1</f>
        <v>14.066844866522512</v>
      </c>
      <c r="G208" s="2">
        <f t="shared" si="12"/>
        <v>1</v>
      </c>
    </row>
    <row r="209" spans="1:7" x14ac:dyDescent="0.4">
      <c r="A209" s="1">
        <v>45716</v>
      </c>
      <c r="B209">
        <v>45.842124789099699</v>
      </c>
      <c r="C209" s="3">
        <f>[1]!i_dq_close("881001.WI",A209)</f>
        <v>5137.9697999999999</v>
      </c>
      <c r="D209" s="2">
        <f t="shared" ref="D209" si="25">B209/B$16</f>
        <v>45.842124789099699</v>
      </c>
      <c r="E209" s="2">
        <f t="shared" ref="E209" si="26">C209/C$16</f>
        <v>3.1738232539452809</v>
      </c>
      <c r="F209" s="5">
        <f t="shared" ref="F209" si="27">(F208+1)*(B209/B208-C209/C208+1)-1</f>
        <v>14.697876273525072</v>
      </c>
      <c r="G209" s="2">
        <f t="shared" si="12"/>
        <v>1</v>
      </c>
    </row>
    <row r="210" spans="1:7" x14ac:dyDescent="0.4">
      <c r="A210" s="1">
        <v>45747</v>
      </c>
      <c r="B210">
        <v>44.541900599143801</v>
      </c>
      <c r="C210" s="3">
        <f>[1]!i_dq_close("881001.WI",A210)</f>
        <v>5117.2912999999999</v>
      </c>
      <c r="D210" s="2">
        <f t="shared" ref="D210" si="28">B210/B$16</f>
        <v>44.541900599143801</v>
      </c>
      <c r="E210" s="2">
        <f t="shared" ref="E210" si="29">C210/C$16</f>
        <v>3.1610497448139685</v>
      </c>
      <c r="F210" s="5">
        <f t="shared" ref="F210" si="30">(F209+1)*(B210/B209-C210/C209+1)-1</f>
        <v>14.315814403093816</v>
      </c>
      <c r="G210" s="2">
        <f t="shared" ref="G210" si="31">IF(F210&gt;F209,1,0)</f>
        <v>0</v>
      </c>
    </row>
    <row r="211" spans="1:7" x14ac:dyDescent="0.4">
      <c r="A211" s="1">
        <v>45777</v>
      </c>
      <c r="B211" s="2">
        <v>42.872307824748802</v>
      </c>
      <c r="C211" s="3">
        <f>[1]!i_dq_close("881001.WI",A211)</f>
        <v>4956.0792000000001</v>
      </c>
      <c r="D211" s="2">
        <f t="shared" ref="D211" si="32">B211/B$16</f>
        <v>42.872307824748802</v>
      </c>
      <c r="E211" s="2">
        <f t="shared" ref="E211" si="33">C211/C$16</f>
        <v>3.0614659146798653</v>
      </c>
      <c r="F211" s="5">
        <f t="shared" ref="F211" si="34">(F210+1)*(B211/B210-C211/C210+1)-1</f>
        <v>14.224222161446544</v>
      </c>
      <c r="G211" s="2">
        <f t="shared" ref="G211" si="35">IF(F211&gt;F210,1,0)</f>
        <v>0</v>
      </c>
    </row>
    <row r="212" spans="1:7" x14ac:dyDescent="0.4">
      <c r="A212" s="1">
        <v>45808</v>
      </c>
      <c r="B212">
        <v>44.0060054913112</v>
      </c>
      <c r="C212" s="3">
        <f>[1]!i_dq_close("881001.WI",A212)</f>
        <v>5074.2898999999998</v>
      </c>
      <c r="D212" s="2">
        <f t="shared" ref="D212" si="36">B212/B$16</f>
        <v>44.0060054913112</v>
      </c>
      <c r="E212" s="2">
        <f t="shared" ref="E212" si="37">C212/C$16</f>
        <v>3.1344869488878024</v>
      </c>
      <c r="F212" s="5">
        <f t="shared" ref="F212" si="38">(F211+1)*(B212/B211-C212/C211+1)-1</f>
        <v>14.263682306083451</v>
      </c>
      <c r="G212" s="2">
        <f t="shared" ref="G212" si="39">IF(F212&gt;F211,1,0)</f>
        <v>1</v>
      </c>
    </row>
    <row r="213" spans="1:7" x14ac:dyDescent="0.4">
      <c r="A213" s="1">
        <v>45838</v>
      </c>
      <c r="B213">
        <v>47.122357707743397</v>
      </c>
      <c r="C213" s="3">
        <f>[1]!i_dq_close("881001.WI",A213)</f>
        <v>5314.8720000000003</v>
      </c>
      <c r="D213" s="2">
        <f t="shared" ref="D213" si="40">B213/B$16</f>
        <v>47.122357707743397</v>
      </c>
      <c r="E213" s="2">
        <f t="shared" ref="E213" si="41">C213/C$16</f>
        <v>3.2830991621131491</v>
      </c>
      <c r="F213" s="5">
        <f t="shared" ref="F213" si="42">(F212+1)*(B213/B212-C213/C212+1)-1</f>
        <v>14.620921879974317</v>
      </c>
      <c r="G213" s="2">
        <f t="shared" ref="G213" si="43">IF(F213&gt;F212,1,0)</f>
        <v>1</v>
      </c>
    </row>
    <row r="214" spans="1:7" x14ac:dyDescent="0.4">
      <c r="A214" s="1">
        <v>45869</v>
      </c>
      <c r="B214">
        <v>49.6689734770219</v>
      </c>
      <c r="C214" s="3">
        <f>[1]!i_dq_close("881001.WI",A214)</f>
        <v>5567.1021000000001</v>
      </c>
      <c r="D214" s="2">
        <f t="shared" ref="D214" si="44">B214/B$16</f>
        <v>49.6689734770219</v>
      </c>
      <c r="E214" s="2">
        <f t="shared" ref="E214" si="45">C214/C$16</f>
        <v>3.4389065700751309</v>
      </c>
      <c r="F214" s="5">
        <f t="shared" ref="F214" si="46">(F213+1)*(B214/B213-C214/C213+1)-1</f>
        <v>14.723788844757186</v>
      </c>
      <c r="G214" s="2">
        <f t="shared" ref="G214" si="47">IF(F214&gt;F213,1,0)</f>
        <v>1</v>
      </c>
    </row>
    <row r="215" spans="1:7" x14ac:dyDescent="0.4">
      <c r="A215" s="1">
        <v>45900</v>
      </c>
      <c r="B215">
        <v>54.3852835643481</v>
      </c>
      <c r="C215" s="3">
        <f>[1]!i_dq_close("881001.WI",A215)</f>
        <v>6175.7365</v>
      </c>
      <c r="D215" s="2">
        <f t="shared" ref="D215" si="48">B215/B$16</f>
        <v>54.3852835643481</v>
      </c>
      <c r="E215" s="2">
        <f t="shared" ref="E215" si="49">C215/C$16</f>
        <v>3.8148718028546296</v>
      </c>
      <c r="F215" s="5">
        <f t="shared" ref="F215" si="50">(F214+1)*(B215/B214-C215/C214+1)-1</f>
        <v>14.497804727715378</v>
      </c>
      <c r="G215" s="2">
        <f t="shared" ref="G215" si="51">IF(F215&gt;F214,1,0)</f>
        <v>0</v>
      </c>
    </row>
    <row r="216" spans="1:7" x14ac:dyDescent="0.4">
      <c r="A216" s="1">
        <v>45930</v>
      </c>
      <c r="B216">
        <v>56.259843704020803</v>
      </c>
      <c r="C216" s="3">
        <f>[1]!i_dq_close("881001.WI",A216)</f>
        <v>6348.9373999999998</v>
      </c>
      <c r="D216" s="2">
        <f t="shared" ref="D216:D217" si="52">B216/B$16</f>
        <v>56.259843704020803</v>
      </c>
      <c r="E216" s="2">
        <f t="shared" ref="E216:E217" si="53">C216/C$16</f>
        <v>3.9218613464724705</v>
      </c>
      <c r="F216" s="5">
        <f t="shared" ref="F216:F217" si="54">(F215+1)*(B216/B215-C216/C215+1)-1</f>
        <v>14.597343513048338</v>
      </c>
      <c r="G216" s="2">
        <f t="shared" ref="G216:G217" si="55">IF(F216&gt;F215,1,0)</f>
        <v>1</v>
      </c>
    </row>
    <row r="217" spans="1:7" x14ac:dyDescent="0.4">
      <c r="A217" s="1">
        <v>45961</v>
      </c>
      <c r="B217">
        <v>56.845564093636497</v>
      </c>
      <c r="C217" s="3">
        <f>[1]!i_dq_close("881001.WI",A217)</f>
        <v>6346.6288000000004</v>
      </c>
      <c r="D217" s="2">
        <f t="shared" si="52"/>
        <v>56.845564093636497</v>
      </c>
      <c r="E217" s="2">
        <f t="shared" si="53"/>
        <v>3.9204352796310391</v>
      </c>
      <c r="F217" s="5">
        <f t="shared" si="54"/>
        <v>14.765398727131073</v>
      </c>
      <c r="G217" s="2">
        <f t="shared" si="55"/>
        <v>1</v>
      </c>
    </row>
    <row r="218" spans="1:7" x14ac:dyDescent="0.4">
      <c r="A218" s="1">
        <v>45991</v>
      </c>
      <c r="B218">
        <v>56.310148965047503</v>
      </c>
      <c r="C218" s="3">
        <f>[1]!i_dq_close("881001.WI",A218)</f>
        <v>6205.6752999999999</v>
      </c>
      <c r="D218" s="2">
        <f t="shared" ref="D218" si="56">B218/B$16</f>
        <v>56.310148965047503</v>
      </c>
      <c r="E218" s="2">
        <f t="shared" ref="E218" si="57">C218/C$16</f>
        <v>3.8333655782822733</v>
      </c>
      <c r="F218" s="5">
        <f t="shared" ref="F218" si="58">(F217+1)*(B218/B217-C218/C217+1)-1</f>
        <v>14.967044881677316</v>
      </c>
      <c r="G218" s="2">
        <f t="shared" ref="G218" si="59">IF(F218&gt;F217,1,0)</f>
        <v>1</v>
      </c>
    </row>
    <row r="219" spans="1:7" x14ac:dyDescent="0.4">
      <c r="A219" s="1">
        <v>46022</v>
      </c>
      <c r="B219">
        <v>60.498804713057702</v>
      </c>
      <c r="C219" s="3">
        <f>[1]!i_dq_close("881001.WI",A219)</f>
        <v>6410.2365</v>
      </c>
      <c r="D219" s="2">
        <f t="shared" ref="D219" si="60">B219/B$16</f>
        <v>60.498804713057702</v>
      </c>
      <c r="E219" s="2">
        <f t="shared" ref="E219" si="61">C219/C$16</f>
        <v>3.9597269853530102</v>
      </c>
      <c r="F219" s="5">
        <f t="shared" ref="F219" si="62">(F218+1)*(B219/B218-C219/C218+1)-1</f>
        <v>15.628429923649882</v>
      </c>
      <c r="G219" s="2">
        <f t="shared" ref="G219" si="63">IF(F219&gt;F218,1,0)</f>
        <v>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9"/>
  <sheetViews>
    <sheetView topLeftCell="A11" workbookViewId="0">
      <selection activeCell="K1" sqref="K1:Q38"/>
    </sheetView>
  </sheetViews>
  <sheetFormatPr defaultRowHeight="13.9" x14ac:dyDescent="0.4"/>
  <cols>
    <col min="1" max="1" width="10.46484375" bestFit="1" customWidth="1"/>
    <col min="11" max="11" width="10.46484375" customWidth="1"/>
    <col min="12" max="17" width="11" customWidth="1"/>
  </cols>
  <sheetData>
    <row r="1" spans="1:17" ht="28.5" customHeight="1" x14ac:dyDescent="0.4">
      <c r="B1" s="6" t="s">
        <v>4</v>
      </c>
      <c r="C1" s="6" t="s">
        <v>3</v>
      </c>
      <c r="D1" s="6" t="s">
        <v>5</v>
      </c>
      <c r="E1" s="6" t="s">
        <v>6</v>
      </c>
      <c r="F1" s="6" t="s">
        <v>7</v>
      </c>
      <c r="G1" s="6" t="s">
        <v>8</v>
      </c>
      <c r="K1" s="11"/>
      <c r="L1" s="12" t="s">
        <v>4</v>
      </c>
      <c r="M1" s="12" t="s">
        <v>3</v>
      </c>
      <c r="N1" s="12" t="s">
        <v>5</v>
      </c>
      <c r="O1" s="12" t="s">
        <v>6</v>
      </c>
      <c r="P1" s="12" t="s">
        <v>7</v>
      </c>
      <c r="Q1" s="12" t="s">
        <v>8</v>
      </c>
    </row>
    <row r="2" spans="1:17" ht="15" x14ac:dyDescent="0.4">
      <c r="A2" s="7">
        <v>39447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K2" s="13">
        <v>44957</v>
      </c>
      <c r="L2" s="9">
        <v>1</v>
      </c>
      <c r="M2" s="9">
        <v>0</v>
      </c>
      <c r="N2" s="9">
        <v>0</v>
      </c>
      <c r="O2" s="9">
        <v>0</v>
      </c>
      <c r="P2" s="9">
        <v>0</v>
      </c>
      <c r="Q2" s="9">
        <v>0</v>
      </c>
    </row>
    <row r="3" spans="1:17" ht="15" x14ac:dyDescent="0.4">
      <c r="A3" s="7">
        <v>39478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K3" s="13">
        <v>44985</v>
      </c>
      <c r="L3" s="9">
        <v>1</v>
      </c>
      <c r="M3" s="9">
        <v>0</v>
      </c>
      <c r="N3" s="9">
        <v>0</v>
      </c>
      <c r="O3" s="9">
        <v>0</v>
      </c>
      <c r="P3" s="9">
        <v>0</v>
      </c>
      <c r="Q3" s="9">
        <v>0</v>
      </c>
    </row>
    <row r="4" spans="1:17" ht="15" x14ac:dyDescent="0.4">
      <c r="A4" s="7">
        <v>39507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K4" s="13">
        <v>45016</v>
      </c>
      <c r="L4" s="9">
        <v>1</v>
      </c>
      <c r="M4" s="9">
        <v>0</v>
      </c>
      <c r="N4" s="9">
        <v>0</v>
      </c>
      <c r="O4" s="9">
        <v>0</v>
      </c>
      <c r="P4" s="9">
        <v>0</v>
      </c>
      <c r="Q4" s="9">
        <v>0</v>
      </c>
    </row>
    <row r="5" spans="1:17" ht="15" x14ac:dyDescent="0.4">
      <c r="A5" s="7">
        <v>39538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K5" s="13">
        <v>45046</v>
      </c>
      <c r="L5" s="9">
        <v>1</v>
      </c>
      <c r="M5" s="9">
        <v>0</v>
      </c>
      <c r="N5" s="9">
        <v>0</v>
      </c>
      <c r="O5" s="9">
        <v>0</v>
      </c>
      <c r="P5" s="9">
        <v>0</v>
      </c>
      <c r="Q5" s="9">
        <v>0</v>
      </c>
    </row>
    <row r="6" spans="1:17" ht="15" x14ac:dyDescent="0.4">
      <c r="A6" s="7">
        <v>39568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K6" s="13">
        <v>45077</v>
      </c>
      <c r="L6" s="9">
        <v>1</v>
      </c>
      <c r="M6" s="9">
        <v>1</v>
      </c>
      <c r="N6" s="9">
        <v>0</v>
      </c>
      <c r="O6" s="9">
        <v>0</v>
      </c>
      <c r="P6" s="9">
        <v>0</v>
      </c>
      <c r="Q6" s="9">
        <v>0</v>
      </c>
    </row>
    <row r="7" spans="1:17" ht="15" x14ac:dyDescent="0.4">
      <c r="A7" s="7">
        <v>39599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K7" s="13">
        <v>45107</v>
      </c>
      <c r="L7" s="9">
        <v>1</v>
      </c>
      <c r="M7" s="9">
        <v>1</v>
      </c>
      <c r="N7" s="9">
        <v>0</v>
      </c>
      <c r="O7" s="9">
        <v>0</v>
      </c>
      <c r="P7" s="9">
        <v>0</v>
      </c>
      <c r="Q7" s="9">
        <v>0</v>
      </c>
    </row>
    <row r="8" spans="1:17" ht="15" x14ac:dyDescent="0.4">
      <c r="A8" s="7">
        <v>39629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K8" s="13">
        <v>45138</v>
      </c>
      <c r="L8" s="9">
        <v>1</v>
      </c>
      <c r="M8" s="9">
        <v>1</v>
      </c>
      <c r="N8" s="9">
        <v>0</v>
      </c>
      <c r="O8" s="9">
        <v>0</v>
      </c>
      <c r="P8" s="9">
        <v>0</v>
      </c>
      <c r="Q8" s="9">
        <v>0</v>
      </c>
    </row>
    <row r="9" spans="1:17" ht="15" x14ac:dyDescent="0.4">
      <c r="A9" s="7">
        <v>39660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K9" s="13">
        <v>45169</v>
      </c>
      <c r="L9" s="9">
        <v>1</v>
      </c>
      <c r="M9" s="9">
        <v>1</v>
      </c>
      <c r="N9" s="9">
        <v>0</v>
      </c>
      <c r="O9" s="9">
        <v>0</v>
      </c>
      <c r="P9" s="9">
        <v>0</v>
      </c>
      <c r="Q9" s="9">
        <v>0</v>
      </c>
    </row>
    <row r="10" spans="1:17" ht="15" x14ac:dyDescent="0.4">
      <c r="A10" s="7">
        <v>39691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K10" s="13">
        <v>45199</v>
      </c>
      <c r="L10" s="9">
        <v>1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</row>
    <row r="11" spans="1:17" ht="15" x14ac:dyDescent="0.4">
      <c r="A11" s="7">
        <v>39721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K11" s="13">
        <v>45230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</row>
    <row r="12" spans="1:17" ht="15" x14ac:dyDescent="0.4">
      <c r="A12" s="7">
        <v>39752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K12" s="13">
        <v>45260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</row>
    <row r="13" spans="1:17" ht="15" x14ac:dyDescent="0.4">
      <c r="A13" s="7">
        <v>39782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K13" s="13">
        <v>45291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</row>
    <row r="14" spans="1:17" ht="15" x14ac:dyDescent="0.4">
      <c r="A14" s="7">
        <v>39813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K14" s="13">
        <v>45322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0</v>
      </c>
    </row>
    <row r="15" spans="1:17" ht="15" x14ac:dyDescent="0.4">
      <c r="A15" s="7">
        <v>39844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K15" s="13">
        <v>45351</v>
      </c>
      <c r="L15" s="9">
        <v>0</v>
      </c>
      <c r="M15" s="10">
        <v>1</v>
      </c>
      <c r="N15" s="9">
        <v>0</v>
      </c>
      <c r="O15" s="10">
        <v>0</v>
      </c>
      <c r="P15" s="9">
        <v>0</v>
      </c>
      <c r="Q15" s="9">
        <v>0</v>
      </c>
    </row>
    <row r="16" spans="1:17" ht="15" x14ac:dyDescent="0.4">
      <c r="A16" s="7">
        <v>39872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K16" s="13">
        <v>45382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</row>
    <row r="17" spans="1:17" ht="15" x14ac:dyDescent="0.4">
      <c r="A17" s="7">
        <v>39903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K17" s="13">
        <v>45412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</row>
    <row r="18" spans="1:17" ht="15" x14ac:dyDescent="0.4">
      <c r="A18" s="7">
        <v>39933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K18" s="13">
        <v>45443</v>
      </c>
      <c r="L18" s="9">
        <v>0</v>
      </c>
      <c r="M18" s="10">
        <v>0</v>
      </c>
      <c r="N18" s="9">
        <v>0</v>
      </c>
      <c r="O18" s="10">
        <v>0</v>
      </c>
      <c r="P18" s="10">
        <v>1</v>
      </c>
      <c r="Q18" s="9">
        <v>0</v>
      </c>
    </row>
    <row r="19" spans="1:17" ht="15" x14ac:dyDescent="0.4">
      <c r="A19" s="7">
        <v>39964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K19" s="13">
        <v>45473</v>
      </c>
      <c r="L19" s="9">
        <v>0</v>
      </c>
      <c r="M19" s="10">
        <v>0</v>
      </c>
      <c r="N19" s="9">
        <v>0</v>
      </c>
      <c r="O19" s="10">
        <v>0</v>
      </c>
      <c r="P19" s="10">
        <v>1</v>
      </c>
      <c r="Q19" s="9">
        <v>0</v>
      </c>
    </row>
    <row r="20" spans="1:17" ht="15" x14ac:dyDescent="0.4">
      <c r="A20" s="7">
        <v>39994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K20" s="13">
        <v>45504</v>
      </c>
      <c r="L20" s="9">
        <v>0</v>
      </c>
      <c r="M20" s="9">
        <v>0</v>
      </c>
      <c r="N20" s="9">
        <v>0</v>
      </c>
      <c r="O20" s="9">
        <v>0</v>
      </c>
      <c r="P20" s="9">
        <v>1</v>
      </c>
      <c r="Q20" s="9">
        <v>0</v>
      </c>
    </row>
    <row r="21" spans="1:17" ht="15" x14ac:dyDescent="0.4">
      <c r="A21" s="7">
        <v>40025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K21" s="13">
        <v>45535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1</v>
      </c>
    </row>
    <row r="22" spans="1:17" ht="15" x14ac:dyDescent="0.4">
      <c r="A22" s="7">
        <v>40056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K22" s="13">
        <v>45565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1</v>
      </c>
    </row>
    <row r="23" spans="1:17" ht="15" x14ac:dyDescent="0.4">
      <c r="A23" s="7">
        <v>40086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K23" s="13">
        <v>45596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</v>
      </c>
    </row>
    <row r="24" spans="1:17" ht="15" x14ac:dyDescent="0.4">
      <c r="A24" s="7">
        <v>40117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K24" s="13">
        <v>45626</v>
      </c>
      <c r="L24" s="9">
        <v>1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</row>
    <row r="25" spans="1:17" ht="15" x14ac:dyDescent="0.4">
      <c r="A25" s="7">
        <v>40147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K25" s="13">
        <v>45657</v>
      </c>
      <c r="L25" s="9">
        <v>1</v>
      </c>
      <c r="M25" s="9">
        <v>1</v>
      </c>
      <c r="N25" s="9">
        <v>0</v>
      </c>
      <c r="O25" s="9">
        <v>0</v>
      </c>
      <c r="P25" s="9">
        <v>0</v>
      </c>
      <c r="Q25" s="9">
        <v>0</v>
      </c>
    </row>
    <row r="26" spans="1:17" ht="15" x14ac:dyDescent="0.4">
      <c r="A26" s="7">
        <v>40178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K26" s="41">
        <v>45688</v>
      </c>
      <c r="L26" s="9">
        <v>1</v>
      </c>
      <c r="M26" s="9">
        <v>1</v>
      </c>
      <c r="N26" s="9">
        <v>0</v>
      </c>
      <c r="O26" s="9">
        <v>0</v>
      </c>
      <c r="P26" s="9">
        <v>0</v>
      </c>
      <c r="Q26" s="9">
        <v>0</v>
      </c>
    </row>
    <row r="27" spans="1:17" ht="15" x14ac:dyDescent="0.4">
      <c r="A27" s="7">
        <v>40209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K27" s="41">
        <v>45716</v>
      </c>
      <c r="L27" s="9">
        <v>1</v>
      </c>
      <c r="M27" s="9">
        <v>1</v>
      </c>
      <c r="N27" s="9">
        <v>0</v>
      </c>
      <c r="O27" s="9">
        <v>0</v>
      </c>
      <c r="P27" s="9">
        <v>0</v>
      </c>
      <c r="Q27" s="9">
        <v>0</v>
      </c>
    </row>
    <row r="28" spans="1:17" ht="15" x14ac:dyDescent="0.4">
      <c r="A28" s="7">
        <v>40237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K28" s="41">
        <v>45747</v>
      </c>
      <c r="L28" s="9">
        <v>0</v>
      </c>
      <c r="M28" s="9">
        <v>0</v>
      </c>
      <c r="N28" s="9">
        <v>0</v>
      </c>
      <c r="O28" s="9">
        <v>1</v>
      </c>
      <c r="P28" s="9">
        <v>0</v>
      </c>
      <c r="Q28" s="9">
        <v>0</v>
      </c>
    </row>
    <row r="29" spans="1:17" ht="15" x14ac:dyDescent="0.4">
      <c r="A29" s="7">
        <v>40268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K29" s="41">
        <v>45777</v>
      </c>
      <c r="L29" s="9">
        <v>1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</row>
    <row r="30" spans="1:17" ht="15" x14ac:dyDescent="0.4">
      <c r="A30" s="7">
        <v>40298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K30" s="41">
        <v>45808</v>
      </c>
      <c r="L30" s="9">
        <v>1</v>
      </c>
      <c r="M30" s="9">
        <v>1</v>
      </c>
      <c r="N30" s="9">
        <v>0</v>
      </c>
      <c r="O30" s="9">
        <v>0</v>
      </c>
      <c r="P30" s="9">
        <v>0</v>
      </c>
      <c r="Q30" s="9">
        <v>0</v>
      </c>
    </row>
    <row r="31" spans="1:17" ht="15" x14ac:dyDescent="0.4">
      <c r="A31" s="7">
        <v>40329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K31" s="41">
        <v>45838</v>
      </c>
      <c r="L31" s="9">
        <v>1</v>
      </c>
      <c r="M31" s="9">
        <v>1</v>
      </c>
      <c r="N31" s="9">
        <v>0</v>
      </c>
      <c r="O31" s="9">
        <v>0</v>
      </c>
      <c r="P31" s="9">
        <v>0</v>
      </c>
      <c r="Q31" s="9">
        <v>0</v>
      </c>
    </row>
    <row r="32" spans="1:17" ht="15" x14ac:dyDescent="0.4">
      <c r="A32" s="7">
        <v>40359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K32" s="41">
        <v>45869</v>
      </c>
      <c r="L32" s="9">
        <v>1</v>
      </c>
      <c r="M32" s="9">
        <v>1</v>
      </c>
      <c r="N32" s="9">
        <v>0</v>
      </c>
      <c r="O32" s="9">
        <v>0</v>
      </c>
      <c r="P32" s="9">
        <v>0</v>
      </c>
      <c r="Q32" s="9">
        <v>0</v>
      </c>
    </row>
    <row r="33" spans="1:17" ht="15" x14ac:dyDescent="0.4">
      <c r="A33" s="7">
        <v>40390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K33" s="41">
        <v>45900</v>
      </c>
      <c r="L33" s="9">
        <v>1</v>
      </c>
      <c r="M33" s="9">
        <v>1</v>
      </c>
      <c r="N33" s="9">
        <v>0</v>
      </c>
      <c r="O33" s="9">
        <v>0</v>
      </c>
      <c r="P33" s="9">
        <v>0</v>
      </c>
      <c r="Q33" s="9">
        <v>0</v>
      </c>
    </row>
    <row r="34" spans="1:17" ht="15" x14ac:dyDescent="0.4">
      <c r="A34" s="7">
        <v>40421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K34" s="41">
        <v>45930</v>
      </c>
      <c r="L34" s="9">
        <v>1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</row>
    <row r="35" spans="1:17" ht="15" x14ac:dyDescent="0.4">
      <c r="A35" s="7">
        <v>40451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K35" s="41">
        <v>45961</v>
      </c>
      <c r="L35" s="9">
        <v>1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</row>
    <row r="36" spans="1:17" ht="15" x14ac:dyDescent="0.4">
      <c r="A36" s="7">
        <v>40482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K36" s="41">
        <v>45991</v>
      </c>
      <c r="L36" s="9">
        <v>1</v>
      </c>
      <c r="M36" s="9">
        <v>0</v>
      </c>
      <c r="N36" s="9">
        <v>1</v>
      </c>
      <c r="O36" s="9">
        <v>0</v>
      </c>
      <c r="P36" s="9">
        <v>0</v>
      </c>
      <c r="Q36" s="9">
        <v>0</v>
      </c>
    </row>
    <row r="37" spans="1:17" ht="15" x14ac:dyDescent="0.4">
      <c r="A37" s="7">
        <v>40512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K37" s="41">
        <v>46022</v>
      </c>
      <c r="L37" s="9">
        <v>1</v>
      </c>
      <c r="M37" s="9">
        <v>0</v>
      </c>
      <c r="N37" s="9">
        <v>1</v>
      </c>
      <c r="O37" s="9">
        <v>0</v>
      </c>
      <c r="P37" s="9">
        <v>0</v>
      </c>
      <c r="Q37" s="9">
        <v>0</v>
      </c>
    </row>
    <row r="38" spans="1:17" ht="15" x14ac:dyDescent="0.4">
      <c r="A38" s="7">
        <v>40543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K38" s="41">
        <v>46053</v>
      </c>
      <c r="L38" s="9">
        <v>1</v>
      </c>
      <c r="M38" s="9">
        <v>1</v>
      </c>
      <c r="N38" s="9">
        <v>1</v>
      </c>
      <c r="O38" s="9">
        <v>0</v>
      </c>
      <c r="P38" s="9">
        <v>0</v>
      </c>
      <c r="Q38" s="9">
        <v>0</v>
      </c>
    </row>
    <row r="39" spans="1:17" ht="15" x14ac:dyDescent="0.4">
      <c r="A39" s="7">
        <v>40574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17" ht="15" x14ac:dyDescent="0.4">
      <c r="A40" s="7">
        <v>40602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17" ht="15" x14ac:dyDescent="0.4">
      <c r="A41" s="7">
        <v>40633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17" ht="15" x14ac:dyDescent="0.4">
      <c r="A42" s="7">
        <v>40663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17" ht="15" x14ac:dyDescent="0.4">
      <c r="A43" s="7">
        <v>40694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17" ht="15" x14ac:dyDescent="0.4">
      <c r="A44" s="7">
        <v>40724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17" ht="15" x14ac:dyDescent="0.4">
      <c r="A45" s="7">
        <v>40755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17" ht="15" x14ac:dyDescent="0.4">
      <c r="A46" s="7">
        <v>40786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17" ht="15" x14ac:dyDescent="0.4">
      <c r="A47" s="7">
        <v>40816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17" ht="15" x14ac:dyDescent="0.4">
      <c r="A48" s="7">
        <v>40847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ht="15" x14ac:dyDescent="0.4">
      <c r="A49" s="7">
        <v>40877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ht="15" x14ac:dyDescent="0.4">
      <c r="A50" s="7">
        <v>40908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 ht="15" x14ac:dyDescent="0.4">
      <c r="A51" s="7">
        <v>40939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</row>
    <row r="52" spans="1:7" ht="15" x14ac:dyDescent="0.4">
      <c r="A52" s="7">
        <v>40968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</row>
    <row r="53" spans="1:7" ht="15" x14ac:dyDescent="0.4">
      <c r="A53" s="7">
        <v>40999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</row>
    <row r="54" spans="1:7" ht="15" x14ac:dyDescent="0.4">
      <c r="A54" s="7">
        <v>41029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</row>
    <row r="55" spans="1:7" ht="15" x14ac:dyDescent="0.4">
      <c r="A55" s="7">
        <v>41060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ht="15" x14ac:dyDescent="0.4">
      <c r="A56" s="7">
        <v>41090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ht="15" x14ac:dyDescent="0.4">
      <c r="A57" s="7">
        <v>41121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 ht="15" x14ac:dyDescent="0.4">
      <c r="A58" s="7">
        <v>41152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ht="15" x14ac:dyDescent="0.4">
      <c r="A59" s="7">
        <v>41182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ht="15" x14ac:dyDescent="0.4">
      <c r="A60" s="7">
        <v>41213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ht="15" x14ac:dyDescent="0.4">
      <c r="A61" s="7">
        <v>41243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</row>
    <row r="62" spans="1:7" ht="15" x14ac:dyDescent="0.4">
      <c r="A62" s="7">
        <v>41274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 ht="15" x14ac:dyDescent="0.4">
      <c r="A63" s="7">
        <v>41305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</row>
    <row r="64" spans="1:7" ht="15" x14ac:dyDescent="0.4">
      <c r="A64" s="7">
        <v>41333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</row>
    <row r="65" spans="1:7" ht="15" x14ac:dyDescent="0.4">
      <c r="A65" s="7">
        <v>41364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</row>
    <row r="66" spans="1:7" ht="15" x14ac:dyDescent="0.4">
      <c r="A66" s="7">
        <v>41394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ht="15" x14ac:dyDescent="0.4">
      <c r="A67" s="7">
        <v>41425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ht="15" x14ac:dyDescent="0.4">
      <c r="A68" s="7">
        <v>41455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 ht="15" x14ac:dyDescent="0.4">
      <c r="A69" s="7">
        <v>41486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 ht="15" x14ac:dyDescent="0.4">
      <c r="A70" s="7">
        <v>41517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 ht="15" x14ac:dyDescent="0.4">
      <c r="A71" s="7">
        <v>41547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 ht="15" x14ac:dyDescent="0.4">
      <c r="A72" s="7">
        <v>41578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 ht="15" x14ac:dyDescent="0.4">
      <c r="A73" s="7">
        <v>41608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</row>
    <row r="74" spans="1:7" ht="15" x14ac:dyDescent="0.4">
      <c r="A74" s="7">
        <v>41639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 ht="15" x14ac:dyDescent="0.4">
      <c r="A75" s="7">
        <v>41670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</row>
    <row r="76" spans="1:7" ht="15" x14ac:dyDescent="0.4">
      <c r="A76" s="7">
        <v>41698</v>
      </c>
      <c r="B76">
        <v>1</v>
      </c>
      <c r="C76">
        <v>1</v>
      </c>
      <c r="D76">
        <v>1</v>
      </c>
      <c r="E76">
        <v>0</v>
      </c>
      <c r="F76">
        <v>0</v>
      </c>
      <c r="G76">
        <v>0</v>
      </c>
    </row>
    <row r="77" spans="1:7" ht="15" x14ac:dyDescent="0.4">
      <c r="A77" s="7">
        <v>41729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</row>
    <row r="78" spans="1:7" ht="15" x14ac:dyDescent="0.4">
      <c r="A78" s="7">
        <v>41759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</row>
    <row r="79" spans="1:7" ht="15" x14ac:dyDescent="0.4">
      <c r="A79" s="7">
        <v>41790</v>
      </c>
      <c r="B79">
        <v>0</v>
      </c>
      <c r="C79">
        <v>1</v>
      </c>
      <c r="D79">
        <v>1</v>
      </c>
      <c r="E79">
        <v>0</v>
      </c>
      <c r="F79">
        <v>0</v>
      </c>
      <c r="G79">
        <v>0</v>
      </c>
    </row>
    <row r="80" spans="1:7" ht="15" x14ac:dyDescent="0.4">
      <c r="A80" s="7">
        <v>41820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</row>
    <row r="81" spans="1:7" ht="15" x14ac:dyDescent="0.4">
      <c r="A81" s="7">
        <v>41851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 ht="15" x14ac:dyDescent="0.4">
      <c r="A82" s="7">
        <v>41882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 ht="15" x14ac:dyDescent="0.4">
      <c r="A83" s="7">
        <v>41912</v>
      </c>
      <c r="B83">
        <v>0</v>
      </c>
      <c r="C83">
        <v>1</v>
      </c>
      <c r="D83">
        <v>1</v>
      </c>
      <c r="E83">
        <v>0</v>
      </c>
      <c r="F83">
        <v>0</v>
      </c>
      <c r="G83">
        <v>0</v>
      </c>
    </row>
    <row r="84" spans="1:7" ht="15" x14ac:dyDescent="0.4">
      <c r="A84" s="7">
        <v>41943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</row>
    <row r="85" spans="1:7" ht="15" x14ac:dyDescent="0.4">
      <c r="A85" s="7">
        <v>41973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</row>
    <row r="86" spans="1:7" ht="15" x14ac:dyDescent="0.4">
      <c r="A86" s="7">
        <v>42004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</row>
    <row r="87" spans="1:7" ht="15" x14ac:dyDescent="0.4">
      <c r="A87" s="7">
        <v>42035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1:7" ht="15" x14ac:dyDescent="0.4">
      <c r="A88" s="7">
        <v>42063</v>
      </c>
      <c r="B88">
        <v>0</v>
      </c>
      <c r="C88">
        <v>1</v>
      </c>
      <c r="D88">
        <v>1</v>
      </c>
      <c r="E88">
        <v>0</v>
      </c>
      <c r="F88">
        <v>0</v>
      </c>
      <c r="G88">
        <v>0</v>
      </c>
    </row>
    <row r="89" spans="1:7" ht="15" x14ac:dyDescent="0.4">
      <c r="A89" s="7">
        <v>42094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</row>
    <row r="90" spans="1:7" ht="15" x14ac:dyDescent="0.4">
      <c r="A90" s="7">
        <v>42124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</row>
    <row r="91" spans="1:7" ht="15" x14ac:dyDescent="0.4">
      <c r="A91" s="7">
        <v>42155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</row>
    <row r="92" spans="1:7" ht="15" x14ac:dyDescent="0.4">
      <c r="A92" s="7">
        <v>42185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ht="15" x14ac:dyDescent="0.4">
      <c r="A93" s="7">
        <v>42216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</row>
    <row r="94" spans="1:7" ht="15" x14ac:dyDescent="0.4">
      <c r="A94" s="7">
        <v>42247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 ht="15" x14ac:dyDescent="0.4">
      <c r="A95" s="7">
        <v>42277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</row>
    <row r="96" spans="1:7" ht="15" x14ac:dyDescent="0.4">
      <c r="A96" s="7">
        <v>42308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</row>
    <row r="97" spans="1:7" ht="15" x14ac:dyDescent="0.4">
      <c r="A97" s="7">
        <v>42338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ht="15" x14ac:dyDescent="0.4">
      <c r="A98" s="7">
        <v>42369</v>
      </c>
      <c r="B98">
        <v>1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 ht="15" x14ac:dyDescent="0.4">
      <c r="A99" s="7">
        <v>42400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</row>
    <row r="100" spans="1:7" ht="15" x14ac:dyDescent="0.4">
      <c r="A100" s="7">
        <v>42429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0</v>
      </c>
    </row>
    <row r="101" spans="1:7" ht="15" x14ac:dyDescent="0.4">
      <c r="A101" s="7">
        <v>42460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</row>
    <row r="102" spans="1:7" ht="15" x14ac:dyDescent="0.4">
      <c r="A102" s="7">
        <v>42490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</row>
    <row r="103" spans="1:7" ht="15" x14ac:dyDescent="0.4">
      <c r="A103" s="7">
        <v>42521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</row>
    <row r="104" spans="1:7" ht="15" x14ac:dyDescent="0.4">
      <c r="A104" s="7">
        <v>42551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 ht="15" x14ac:dyDescent="0.4">
      <c r="A105" s="7">
        <v>42582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</row>
    <row r="106" spans="1:7" ht="15" x14ac:dyDescent="0.4">
      <c r="A106" s="7">
        <v>42613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ht="15" x14ac:dyDescent="0.4">
      <c r="A107" s="7">
        <v>42643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ht="15" x14ac:dyDescent="0.4">
      <c r="A108" s="7">
        <v>42674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</row>
    <row r="109" spans="1:7" ht="15" x14ac:dyDescent="0.4">
      <c r="A109" s="7">
        <v>42704</v>
      </c>
      <c r="B109">
        <v>1</v>
      </c>
      <c r="C109">
        <v>1</v>
      </c>
      <c r="D109">
        <v>1</v>
      </c>
      <c r="E109">
        <v>0</v>
      </c>
      <c r="F109">
        <v>0</v>
      </c>
      <c r="G109">
        <v>0</v>
      </c>
    </row>
    <row r="110" spans="1:7" ht="15" x14ac:dyDescent="0.4">
      <c r="A110" s="7">
        <v>42735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0</v>
      </c>
    </row>
    <row r="111" spans="1:7" ht="15" x14ac:dyDescent="0.4">
      <c r="A111" s="7">
        <v>42766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0</v>
      </c>
    </row>
    <row r="112" spans="1:7" ht="15" x14ac:dyDescent="0.4">
      <c r="A112" s="7">
        <v>42794</v>
      </c>
      <c r="B112">
        <v>1</v>
      </c>
      <c r="C112">
        <v>1</v>
      </c>
      <c r="D112">
        <v>1</v>
      </c>
      <c r="E112">
        <v>0</v>
      </c>
      <c r="F112">
        <v>0</v>
      </c>
      <c r="G112">
        <v>0</v>
      </c>
    </row>
    <row r="113" spans="1:7" ht="15" x14ac:dyDescent="0.4">
      <c r="A113" s="7">
        <v>42825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</row>
    <row r="114" spans="1:7" ht="15" x14ac:dyDescent="0.4">
      <c r="A114" s="7">
        <v>42855</v>
      </c>
      <c r="B114">
        <v>1</v>
      </c>
      <c r="C114">
        <v>1</v>
      </c>
      <c r="D114">
        <v>1</v>
      </c>
      <c r="E114">
        <v>0</v>
      </c>
      <c r="F114">
        <v>0</v>
      </c>
      <c r="G114">
        <v>0</v>
      </c>
    </row>
    <row r="115" spans="1:7" ht="15" x14ac:dyDescent="0.4">
      <c r="A115" s="7">
        <v>42886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 ht="15" x14ac:dyDescent="0.4">
      <c r="A116" s="7">
        <v>42916</v>
      </c>
      <c r="B116">
        <v>0</v>
      </c>
      <c r="C116">
        <v>1</v>
      </c>
      <c r="D116">
        <v>1</v>
      </c>
      <c r="E116">
        <v>0</v>
      </c>
      <c r="F116">
        <v>0</v>
      </c>
      <c r="G116">
        <v>0</v>
      </c>
    </row>
    <row r="117" spans="1:7" ht="15" x14ac:dyDescent="0.4">
      <c r="A117" s="7">
        <v>42947</v>
      </c>
      <c r="B117">
        <v>0</v>
      </c>
      <c r="C117">
        <v>1</v>
      </c>
      <c r="D117">
        <v>1</v>
      </c>
      <c r="E117">
        <v>0</v>
      </c>
      <c r="F117">
        <v>0</v>
      </c>
      <c r="G117">
        <v>0</v>
      </c>
    </row>
    <row r="118" spans="1:7" ht="15" x14ac:dyDescent="0.4">
      <c r="A118" s="7">
        <v>42978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</row>
    <row r="119" spans="1:7" ht="15" x14ac:dyDescent="0.4">
      <c r="A119" s="7">
        <v>43008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</row>
    <row r="120" spans="1:7" ht="15" x14ac:dyDescent="0.4">
      <c r="A120" s="7">
        <v>43039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</row>
    <row r="121" spans="1:7" ht="15" x14ac:dyDescent="0.4">
      <c r="A121" s="7">
        <v>43069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</row>
    <row r="122" spans="1:7" ht="15" x14ac:dyDescent="0.4">
      <c r="A122" s="7">
        <v>43100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</row>
    <row r="123" spans="1:7" ht="15" x14ac:dyDescent="0.4">
      <c r="A123" s="7">
        <v>43131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</row>
    <row r="124" spans="1:7" ht="15" x14ac:dyDescent="0.4">
      <c r="A124" s="7">
        <v>43159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</row>
    <row r="125" spans="1:7" ht="15" x14ac:dyDescent="0.4">
      <c r="A125" s="7">
        <v>43190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</row>
    <row r="126" spans="1:7" ht="15" x14ac:dyDescent="0.4">
      <c r="A126" s="7">
        <v>43220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 ht="15" x14ac:dyDescent="0.4">
      <c r="A127" s="7">
        <v>43251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</row>
    <row r="128" spans="1:7" ht="15" x14ac:dyDescent="0.4">
      <c r="A128" s="7">
        <v>43281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</row>
    <row r="129" spans="1:7" ht="15" x14ac:dyDescent="0.4">
      <c r="A129" s="7">
        <v>43312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</row>
    <row r="130" spans="1:7" ht="15" x14ac:dyDescent="0.4">
      <c r="A130" s="7">
        <v>43343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</row>
    <row r="131" spans="1:7" ht="15" x14ac:dyDescent="0.4">
      <c r="A131" s="7">
        <v>43373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</row>
    <row r="132" spans="1:7" ht="15" x14ac:dyDescent="0.4">
      <c r="A132" s="7">
        <v>43404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</row>
    <row r="133" spans="1:7" ht="15" x14ac:dyDescent="0.4">
      <c r="A133" s="7">
        <v>43434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</row>
    <row r="134" spans="1:7" ht="15" x14ac:dyDescent="0.4">
      <c r="A134" s="7">
        <v>43465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</row>
    <row r="135" spans="1:7" ht="15" x14ac:dyDescent="0.4">
      <c r="A135" s="7">
        <v>43496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</row>
    <row r="136" spans="1:7" ht="15" x14ac:dyDescent="0.4">
      <c r="A136" s="7">
        <v>43524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</row>
    <row r="137" spans="1:7" ht="15" x14ac:dyDescent="0.4">
      <c r="A137" s="7">
        <v>43555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</row>
    <row r="138" spans="1:7" ht="15" x14ac:dyDescent="0.4">
      <c r="A138" s="7">
        <v>43585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</row>
    <row r="139" spans="1:7" ht="15" x14ac:dyDescent="0.4">
      <c r="A139" s="7">
        <v>43616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 ht="15" x14ac:dyDescent="0.4">
      <c r="A140" s="7">
        <v>43646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 ht="15" x14ac:dyDescent="0.4">
      <c r="A141" s="7">
        <v>43677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 ht="15" x14ac:dyDescent="0.4">
      <c r="A142" s="7">
        <v>43708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3" spans="1:7" ht="15" x14ac:dyDescent="0.4">
      <c r="A143" s="7">
        <v>43738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</row>
    <row r="144" spans="1:7" ht="15" x14ac:dyDescent="0.4">
      <c r="A144" s="7">
        <v>43769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ht="15" x14ac:dyDescent="0.4">
      <c r="A145" s="7">
        <v>43799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</row>
    <row r="146" spans="1:7" ht="15" x14ac:dyDescent="0.4">
      <c r="A146" s="7">
        <v>43830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0</v>
      </c>
    </row>
    <row r="147" spans="1:7" ht="15" x14ac:dyDescent="0.4">
      <c r="A147" s="7">
        <v>43861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ht="15" x14ac:dyDescent="0.4">
      <c r="A148" s="7">
        <v>43890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ht="15" x14ac:dyDescent="0.4">
      <c r="A149" s="7">
        <v>43921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</row>
    <row r="150" spans="1:7" ht="15" x14ac:dyDescent="0.4">
      <c r="A150" s="7">
        <v>43951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</row>
    <row r="151" spans="1:7" ht="15" x14ac:dyDescent="0.4">
      <c r="A151" s="7">
        <v>43982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 ht="15" x14ac:dyDescent="0.4">
      <c r="A152" s="7">
        <v>44012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 ht="15" x14ac:dyDescent="0.4">
      <c r="A153" s="7">
        <v>44043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 ht="15" x14ac:dyDescent="0.4">
      <c r="A154" s="7">
        <v>44074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 ht="15" x14ac:dyDescent="0.4">
      <c r="A155" s="7">
        <v>44104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ht="15" x14ac:dyDescent="0.4">
      <c r="A156" s="7">
        <v>44135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</row>
    <row r="157" spans="1:7" ht="15" x14ac:dyDescent="0.4">
      <c r="A157" s="7">
        <v>44165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0</v>
      </c>
    </row>
    <row r="158" spans="1:7" ht="15" x14ac:dyDescent="0.4">
      <c r="A158" s="7">
        <v>44196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0</v>
      </c>
    </row>
    <row r="159" spans="1:7" ht="15" x14ac:dyDescent="0.4">
      <c r="A159" s="7">
        <v>44227</v>
      </c>
      <c r="B159">
        <v>1</v>
      </c>
      <c r="C159">
        <v>1</v>
      </c>
      <c r="D159">
        <v>1</v>
      </c>
      <c r="E159">
        <v>0</v>
      </c>
      <c r="F159">
        <v>0</v>
      </c>
      <c r="G159">
        <v>0</v>
      </c>
    </row>
    <row r="160" spans="1:7" ht="15" x14ac:dyDescent="0.4">
      <c r="A160" s="7">
        <v>44255</v>
      </c>
      <c r="B160">
        <v>1</v>
      </c>
      <c r="C160">
        <v>1</v>
      </c>
      <c r="D160">
        <v>1</v>
      </c>
      <c r="E160">
        <v>0</v>
      </c>
      <c r="F160">
        <v>0</v>
      </c>
      <c r="G160">
        <v>0</v>
      </c>
    </row>
    <row r="161" spans="1:7" ht="15" x14ac:dyDescent="0.4">
      <c r="A161" s="7">
        <v>44286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</row>
    <row r="162" spans="1:7" ht="15" x14ac:dyDescent="0.4">
      <c r="A162" s="7">
        <v>44316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ht="15" x14ac:dyDescent="0.4">
      <c r="A163" s="7">
        <v>44347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</row>
    <row r="164" spans="1:7" ht="15" x14ac:dyDescent="0.4">
      <c r="A164" s="7">
        <v>44377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</row>
    <row r="165" spans="1:7" ht="15" x14ac:dyDescent="0.4">
      <c r="A165" s="7">
        <v>44408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</row>
    <row r="166" spans="1:7" ht="15" x14ac:dyDescent="0.4">
      <c r="A166" s="7">
        <v>44439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</row>
    <row r="167" spans="1:7" ht="15" x14ac:dyDescent="0.4">
      <c r="A167" s="7">
        <v>44469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</row>
    <row r="168" spans="1:7" ht="15" x14ac:dyDescent="0.4">
      <c r="A168" s="7">
        <v>44500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</row>
    <row r="169" spans="1:7" ht="15" x14ac:dyDescent="0.4">
      <c r="A169" s="7">
        <v>44530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</row>
    <row r="170" spans="1:7" ht="15" x14ac:dyDescent="0.4">
      <c r="A170" s="7">
        <v>44561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</row>
    <row r="171" spans="1:7" ht="15" x14ac:dyDescent="0.4">
      <c r="A171" s="7">
        <v>44592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</row>
    <row r="172" spans="1:7" ht="15" x14ac:dyDescent="0.4">
      <c r="A172" s="7">
        <v>44620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</row>
    <row r="173" spans="1:7" ht="15" x14ac:dyDescent="0.4">
      <c r="A173" s="7">
        <v>44651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</row>
    <row r="174" spans="1:7" ht="15" x14ac:dyDescent="0.4">
      <c r="A174" s="7">
        <v>44681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</row>
    <row r="175" spans="1:7" ht="15" x14ac:dyDescent="0.4">
      <c r="A175" s="7">
        <v>44712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ht="15" x14ac:dyDescent="0.4">
      <c r="A176" s="7">
        <v>44742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ht="15" x14ac:dyDescent="0.4">
      <c r="A177" s="7">
        <v>44773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ht="15" x14ac:dyDescent="0.4">
      <c r="A178" s="7">
        <v>44804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</row>
    <row r="179" spans="1:7" ht="15" x14ac:dyDescent="0.4">
      <c r="A179" s="7">
        <v>44834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ht="15" x14ac:dyDescent="0.4">
      <c r="A180" s="7">
        <v>44865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ht="15" x14ac:dyDescent="0.4">
      <c r="A181" s="7">
        <v>44895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ht="15" x14ac:dyDescent="0.4">
      <c r="A182" s="7">
        <v>44926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ht="15" x14ac:dyDescent="0.4">
      <c r="A183" s="7">
        <v>44957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ht="15" x14ac:dyDescent="0.4">
      <c r="A184" s="7">
        <v>44985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ht="15" x14ac:dyDescent="0.4">
      <c r="A185" s="7">
        <v>45016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ht="15" x14ac:dyDescent="0.4">
      <c r="A186" s="7">
        <v>45046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ht="15" x14ac:dyDescent="0.4">
      <c r="A187" s="7">
        <v>45077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</row>
    <row r="188" spans="1:7" ht="15" x14ac:dyDescent="0.4">
      <c r="A188" s="7">
        <v>45107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0</v>
      </c>
    </row>
    <row r="189" spans="1:7" ht="15" x14ac:dyDescent="0.4">
      <c r="A189" s="7">
        <v>45138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</row>
    <row r="190" spans="1:7" ht="15" x14ac:dyDescent="0.4">
      <c r="A190" s="7">
        <v>45169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</row>
    <row r="191" spans="1:7" ht="15" x14ac:dyDescent="0.4">
      <c r="A191" s="7">
        <v>45199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ht="15" x14ac:dyDescent="0.4">
      <c r="A192" s="7">
        <v>45230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</row>
    <row r="193" spans="1:7" ht="15" x14ac:dyDescent="0.4">
      <c r="A193" s="7">
        <v>45260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</row>
    <row r="194" spans="1:7" ht="15" x14ac:dyDescent="0.4">
      <c r="A194" s="7">
        <v>45291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</row>
    <row r="195" spans="1:7" ht="15" x14ac:dyDescent="0.4">
      <c r="A195" s="7">
        <v>45322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</row>
    <row r="196" spans="1:7" ht="15" customHeight="1" x14ac:dyDescent="0.4">
      <c r="A196" s="7">
        <v>45351</v>
      </c>
      <c r="B196">
        <v>0</v>
      </c>
      <c r="C196" s="8">
        <v>1</v>
      </c>
      <c r="D196">
        <v>0</v>
      </c>
      <c r="E196" s="8">
        <v>0</v>
      </c>
      <c r="F196">
        <v>0</v>
      </c>
      <c r="G196">
        <v>0</v>
      </c>
    </row>
    <row r="197" spans="1:7" ht="15" x14ac:dyDescent="0.4">
      <c r="A197" s="7">
        <v>45382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</row>
    <row r="198" spans="1:7" ht="15" x14ac:dyDescent="0.4">
      <c r="A198" s="7">
        <v>45412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</row>
    <row r="199" spans="1:7" ht="15" customHeight="1" x14ac:dyDescent="0.4">
      <c r="A199" s="7">
        <v>45443</v>
      </c>
      <c r="B199">
        <v>0</v>
      </c>
      <c r="C199" s="8">
        <v>0</v>
      </c>
      <c r="D199">
        <v>0</v>
      </c>
      <c r="E199" s="8">
        <v>0</v>
      </c>
      <c r="F199" s="8">
        <v>1</v>
      </c>
      <c r="G199">
        <v>0</v>
      </c>
    </row>
    <row r="200" spans="1:7" ht="15" customHeight="1" x14ac:dyDescent="0.4">
      <c r="A200" s="7">
        <v>45473</v>
      </c>
      <c r="B200">
        <v>0</v>
      </c>
      <c r="C200" s="8">
        <v>0</v>
      </c>
      <c r="D200">
        <v>0</v>
      </c>
      <c r="E200" s="8">
        <v>0</v>
      </c>
      <c r="F200" s="8">
        <v>1</v>
      </c>
      <c r="G200">
        <v>0</v>
      </c>
    </row>
    <row r="201" spans="1:7" ht="15" x14ac:dyDescent="0.4">
      <c r="A201" s="7">
        <v>45504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</row>
    <row r="202" spans="1:7" ht="15" x14ac:dyDescent="0.4">
      <c r="A202" s="7">
        <v>45535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</row>
    <row r="203" spans="1:7" ht="15" x14ac:dyDescent="0.4">
      <c r="A203" s="7">
        <v>45565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</row>
    <row r="204" spans="1:7" ht="15" x14ac:dyDescent="0.4">
      <c r="A204" s="7">
        <v>45596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</row>
    <row r="205" spans="1:7" ht="15" x14ac:dyDescent="0.4">
      <c r="A205" s="7">
        <v>45626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ht="15" x14ac:dyDescent="0.4">
      <c r="A206" s="7">
        <v>45657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</row>
    <row r="207" spans="1:7" ht="15" x14ac:dyDescent="0.4">
      <c r="A207" s="7">
        <v>45688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 ht="15" x14ac:dyDescent="0.4">
      <c r="A208" s="7">
        <v>45716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 ht="15" x14ac:dyDescent="0.4">
      <c r="A209" s="7">
        <v>45747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</row>
    <row r="210" spans="1:7" ht="15" x14ac:dyDescent="0.4">
      <c r="A210" s="7">
        <v>45777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ht="15" x14ac:dyDescent="0.4">
      <c r="A211" s="7">
        <v>45808</v>
      </c>
      <c r="B211">
        <v>1</v>
      </c>
      <c r="C211">
        <v>1</v>
      </c>
      <c r="D211">
        <v>0</v>
      </c>
      <c r="E211">
        <v>0</v>
      </c>
      <c r="F211">
        <v>0</v>
      </c>
      <c r="G211">
        <v>0</v>
      </c>
    </row>
    <row r="212" spans="1:7" ht="15" x14ac:dyDescent="0.4">
      <c r="A212" s="7">
        <v>45838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0</v>
      </c>
    </row>
    <row r="213" spans="1:7" ht="15" x14ac:dyDescent="0.4">
      <c r="A213" s="7">
        <v>45869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</v>
      </c>
    </row>
    <row r="214" spans="1:7" ht="15" x14ac:dyDescent="0.4">
      <c r="A214" s="7">
        <v>45900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</v>
      </c>
    </row>
    <row r="215" spans="1:7" ht="15" x14ac:dyDescent="0.4">
      <c r="A215" s="7">
        <v>45930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ht="15" x14ac:dyDescent="0.4">
      <c r="A216" s="7">
        <v>45961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ht="15" x14ac:dyDescent="0.4">
      <c r="A217" s="7">
        <v>45991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</row>
    <row r="218" spans="1:7" ht="15" x14ac:dyDescent="0.4">
      <c r="A218" s="7">
        <v>46022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</row>
    <row r="219" spans="1:7" ht="15" x14ac:dyDescent="0.4">
      <c r="A219" s="7">
        <v>46053</v>
      </c>
      <c r="B219">
        <v>1</v>
      </c>
      <c r="C219">
        <v>1</v>
      </c>
      <c r="D219">
        <v>1</v>
      </c>
      <c r="E219">
        <v>0</v>
      </c>
      <c r="F219">
        <v>0</v>
      </c>
      <c r="G219">
        <v>0</v>
      </c>
    </row>
  </sheetData>
  <phoneticPr fontId="2" type="noConversion"/>
  <conditionalFormatting sqref="B2:B219">
    <cfRule type="cellIs" dxfId="15" priority="112" operator="equal">
      <formula>1</formula>
    </cfRule>
  </conditionalFormatting>
  <conditionalFormatting sqref="B2:G219">
    <cfRule type="cellIs" dxfId="14" priority="3" operator="equal">
      <formula>0</formula>
    </cfRule>
  </conditionalFormatting>
  <conditionalFormatting sqref="C2:C219">
    <cfRule type="cellIs" dxfId="13" priority="115" operator="equal">
      <formula>1</formula>
    </cfRule>
  </conditionalFormatting>
  <conditionalFormatting sqref="D2:D219">
    <cfRule type="cellIs" dxfId="12" priority="110" operator="equal">
      <formula>1</formula>
    </cfRule>
  </conditionalFormatting>
  <conditionalFormatting sqref="D217:D219">
    <cfRule type="cellIs" dxfId="11" priority="5" operator="equal">
      <formula>0</formula>
    </cfRule>
  </conditionalFormatting>
  <conditionalFormatting sqref="E2:E219">
    <cfRule type="cellIs" dxfId="10" priority="108" operator="equal">
      <formula>1</formula>
    </cfRule>
  </conditionalFormatting>
  <conditionalFormatting sqref="F2:F219">
    <cfRule type="cellIs" dxfId="9" priority="106" operator="equal">
      <formula>1</formula>
    </cfRule>
  </conditionalFormatting>
  <conditionalFormatting sqref="G2:G219">
    <cfRule type="cellIs" dxfId="8" priority="104" operator="equal">
      <formula>1</formula>
    </cfRule>
  </conditionalFormatting>
  <conditionalFormatting sqref="L2:L38">
    <cfRule type="cellIs" dxfId="7" priority="83" operator="equal">
      <formula>1</formula>
    </cfRule>
  </conditionalFormatting>
  <conditionalFormatting sqref="L2:Q38">
    <cfRule type="cellIs" dxfId="6" priority="1" operator="equal">
      <formula>0</formula>
    </cfRule>
  </conditionalFormatting>
  <conditionalFormatting sqref="M2:M38">
    <cfRule type="cellIs" dxfId="5" priority="84" operator="equal">
      <formula>1</formula>
    </cfRule>
  </conditionalFormatting>
  <conditionalFormatting sqref="M34:M38">
    <cfRule type="cellIs" dxfId="4" priority="9" operator="equal">
      <formula>0</formula>
    </cfRule>
  </conditionalFormatting>
  <conditionalFormatting sqref="N2:N38">
    <cfRule type="cellIs" dxfId="3" priority="82" operator="equal">
      <formula>1</formula>
    </cfRule>
  </conditionalFormatting>
  <conditionalFormatting sqref="O2:O38">
    <cfRule type="cellIs" dxfId="2" priority="81" operator="equal">
      <formula>1</formula>
    </cfRule>
  </conditionalFormatting>
  <conditionalFormatting sqref="P2:P38">
    <cfRule type="cellIs" dxfId="1" priority="80" operator="equal">
      <formula>1</formula>
    </cfRule>
  </conditionalFormatting>
  <conditionalFormatting sqref="Q2:Q38">
    <cfRule type="cellIs" dxfId="0" priority="79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0"/>
  <sheetViews>
    <sheetView workbookViewId="0">
      <selection activeCell="E216" sqref="E1:E216"/>
    </sheetView>
  </sheetViews>
  <sheetFormatPr defaultRowHeight="13.9" x14ac:dyDescent="0.4"/>
  <cols>
    <col min="1" max="1" width="10.46484375" bestFit="1" customWidth="1"/>
  </cols>
  <sheetData>
    <row r="1" spans="1:5" x14ac:dyDescent="0.4">
      <c r="B1" s="2" t="s">
        <v>14</v>
      </c>
      <c r="C1" s="2" t="s">
        <v>13</v>
      </c>
      <c r="D1" s="2" t="s">
        <v>15</v>
      </c>
      <c r="E1" s="2" t="s">
        <v>16</v>
      </c>
    </row>
    <row r="2" spans="1:5" x14ac:dyDescent="0.4">
      <c r="A2" s="1">
        <v>39082</v>
      </c>
      <c r="B2" s="24">
        <v>1.90438718219254</v>
      </c>
      <c r="C2" s="24">
        <v>0.61900281061432305</v>
      </c>
      <c r="D2" s="24">
        <v>0.21901524596859101</v>
      </c>
      <c r="E2" s="24">
        <v>1.6853719362239501</v>
      </c>
    </row>
    <row r="3" spans="1:5" x14ac:dyDescent="0.4">
      <c r="A3" s="1">
        <v>39113</v>
      </c>
      <c r="B3" s="24">
        <v>1.90438718219254</v>
      </c>
      <c r="C3" s="24">
        <v>0.61900281061432305</v>
      </c>
      <c r="D3" s="24">
        <v>0.21901524596859101</v>
      </c>
      <c r="E3" s="24">
        <v>1.6853719362239501</v>
      </c>
    </row>
    <row r="4" spans="1:5" x14ac:dyDescent="0.4">
      <c r="A4" s="1">
        <v>39141</v>
      </c>
      <c r="B4" s="24">
        <v>1.90438718219254</v>
      </c>
      <c r="C4" s="24">
        <v>0.61900281061432305</v>
      </c>
      <c r="D4" s="24">
        <v>0.21901524596859101</v>
      </c>
      <c r="E4" s="24">
        <v>1.6853719362239501</v>
      </c>
    </row>
    <row r="5" spans="1:5" x14ac:dyDescent="0.4">
      <c r="A5" s="1">
        <v>39172</v>
      </c>
      <c r="B5" s="24">
        <v>1.90438718219254</v>
      </c>
      <c r="C5" s="24">
        <v>0.61900281061432305</v>
      </c>
      <c r="D5" s="24">
        <v>0.21901524596859101</v>
      </c>
      <c r="E5" s="24">
        <v>1.6853719362239501</v>
      </c>
    </row>
    <row r="6" spans="1:5" x14ac:dyDescent="0.4">
      <c r="A6" s="1">
        <v>39202</v>
      </c>
      <c r="B6" s="24">
        <v>1.90438718219254</v>
      </c>
      <c r="C6" s="24">
        <v>0.61900281061432305</v>
      </c>
      <c r="D6" s="24">
        <v>0.21901524596859101</v>
      </c>
      <c r="E6" s="24">
        <v>1.6853719362239501</v>
      </c>
    </row>
    <row r="7" spans="1:5" x14ac:dyDescent="0.4">
      <c r="A7" s="1">
        <v>39233</v>
      </c>
      <c r="B7" s="24">
        <v>1.90438718219254</v>
      </c>
      <c r="C7" s="24">
        <v>0.61900281061432305</v>
      </c>
      <c r="D7" s="24">
        <v>0.21901524596859101</v>
      </c>
      <c r="E7" s="24">
        <v>1.6853719362239501</v>
      </c>
    </row>
    <row r="8" spans="1:5" x14ac:dyDescent="0.4">
      <c r="A8" s="1">
        <v>39263</v>
      </c>
      <c r="B8" s="24">
        <v>1.90438718219254</v>
      </c>
      <c r="C8" s="24">
        <v>0.61900281061432305</v>
      </c>
      <c r="D8" s="24">
        <v>0.21901524596859101</v>
      </c>
      <c r="E8" s="24">
        <v>1.6853719362239501</v>
      </c>
    </row>
    <row r="9" spans="1:5" x14ac:dyDescent="0.4">
      <c r="A9" s="1">
        <v>39294</v>
      </c>
      <c r="B9" s="24">
        <v>1.90438718219254</v>
      </c>
      <c r="C9" s="24">
        <v>0.61900281061432305</v>
      </c>
      <c r="D9" s="24">
        <v>0.21901524596859101</v>
      </c>
      <c r="E9" s="24">
        <v>1.6853719362239501</v>
      </c>
    </row>
    <row r="10" spans="1:5" x14ac:dyDescent="0.4">
      <c r="A10" s="1">
        <v>39325</v>
      </c>
      <c r="B10" s="24">
        <v>1.90438718219254</v>
      </c>
      <c r="C10" s="24">
        <v>0.61900281061432305</v>
      </c>
      <c r="D10" s="24">
        <v>0.21901524596859101</v>
      </c>
      <c r="E10" s="24">
        <v>1.6853719362239501</v>
      </c>
    </row>
    <row r="11" spans="1:5" x14ac:dyDescent="0.4">
      <c r="A11" s="1">
        <v>39355</v>
      </c>
      <c r="B11" s="24">
        <v>1.90438718219254</v>
      </c>
      <c r="C11" s="24">
        <v>0.61900281061432305</v>
      </c>
      <c r="D11" s="24">
        <v>0.21901524596859101</v>
      </c>
      <c r="E11" s="24">
        <v>1.6853719362239501</v>
      </c>
    </row>
    <row r="12" spans="1:5" x14ac:dyDescent="0.4">
      <c r="A12" s="1">
        <v>39386</v>
      </c>
      <c r="B12" s="24">
        <v>1.90438718219254</v>
      </c>
      <c r="C12" s="24">
        <v>0.61900281061432305</v>
      </c>
      <c r="D12" s="24">
        <v>0.21901524596859101</v>
      </c>
      <c r="E12" s="24">
        <v>1.6853719362239501</v>
      </c>
    </row>
    <row r="13" spans="1:5" x14ac:dyDescent="0.4">
      <c r="A13" s="1">
        <v>39416</v>
      </c>
      <c r="B13" s="24">
        <v>1.90438718219254</v>
      </c>
      <c r="C13" s="24">
        <v>0.61900281061432305</v>
      </c>
      <c r="D13" s="24">
        <v>0.21901524596859101</v>
      </c>
      <c r="E13" s="24">
        <v>1.6853719362239501</v>
      </c>
    </row>
    <row r="14" spans="1:5" x14ac:dyDescent="0.4">
      <c r="A14" s="1">
        <v>39447</v>
      </c>
      <c r="B14" s="24">
        <v>1.7876401539831701</v>
      </c>
      <c r="C14" s="24">
        <v>0.58311182370516301</v>
      </c>
      <c r="D14" s="24">
        <v>0.208442951989391</v>
      </c>
      <c r="E14" s="24">
        <v>1.5791972019937801</v>
      </c>
    </row>
    <row r="15" spans="1:5" x14ac:dyDescent="0.4">
      <c r="A15" s="1">
        <v>39478</v>
      </c>
      <c r="B15" s="24">
        <v>1.7011017177562</v>
      </c>
      <c r="C15" s="24">
        <v>0.56118566435852701</v>
      </c>
      <c r="D15" s="24">
        <v>0.19554882975490101</v>
      </c>
      <c r="E15" s="24">
        <v>1.5055528880013</v>
      </c>
    </row>
    <row r="16" spans="1:5" x14ac:dyDescent="0.4">
      <c r="A16" s="1">
        <v>39507</v>
      </c>
      <c r="B16" s="24">
        <v>1.6134284788670801</v>
      </c>
      <c r="C16" s="24">
        <v>0.53486930349601902</v>
      </c>
      <c r="D16" s="24">
        <v>0.184155508160674</v>
      </c>
      <c r="E16" s="24">
        <v>1.42927297070641</v>
      </c>
    </row>
    <row r="17" spans="1:5" x14ac:dyDescent="0.4">
      <c r="A17" s="1">
        <v>39538</v>
      </c>
      <c r="B17" s="24">
        <v>1.4962605700373199</v>
      </c>
      <c r="C17" s="24">
        <v>0.50333037938768299</v>
      </c>
      <c r="D17" s="24">
        <v>0.172148967238932</v>
      </c>
      <c r="E17" s="24">
        <v>1.3241116027983899</v>
      </c>
    </row>
    <row r="18" spans="1:5" x14ac:dyDescent="0.4">
      <c r="A18" s="1">
        <v>39568</v>
      </c>
      <c r="B18" s="24">
        <v>1.43363401043503</v>
      </c>
      <c r="C18" s="24">
        <v>0.50664872768229896</v>
      </c>
      <c r="D18" s="24">
        <v>0.180884243585935</v>
      </c>
      <c r="E18" s="24">
        <v>1.2527497668491001</v>
      </c>
    </row>
    <row r="19" spans="1:5" x14ac:dyDescent="0.4">
      <c r="A19" s="1">
        <v>39599</v>
      </c>
      <c r="B19" s="24">
        <v>1.41383420762649</v>
      </c>
      <c r="C19" s="24">
        <v>0.50926537952589801</v>
      </c>
      <c r="D19" s="24">
        <v>0.18788167535625</v>
      </c>
      <c r="E19" s="24">
        <v>1.22595253227024</v>
      </c>
    </row>
    <row r="20" spans="1:5" x14ac:dyDescent="0.4">
      <c r="A20" s="1">
        <v>39629</v>
      </c>
      <c r="B20" s="24">
        <v>1.3807295382439699</v>
      </c>
      <c r="C20" s="24">
        <v>0.509948991353249</v>
      </c>
      <c r="D20" s="24">
        <v>0.19189857678608099</v>
      </c>
      <c r="E20" s="24">
        <v>1.18883096145788</v>
      </c>
    </row>
    <row r="21" spans="1:5" x14ac:dyDescent="0.4">
      <c r="A21" s="1">
        <v>39660</v>
      </c>
      <c r="B21" s="24">
        <v>1.3254091835767401</v>
      </c>
      <c r="C21" s="24">
        <v>0.50826598954193003</v>
      </c>
      <c r="D21" s="24">
        <v>0.19349172560517899</v>
      </c>
      <c r="E21" s="24">
        <v>1.1319174579715601</v>
      </c>
    </row>
    <row r="22" spans="1:5" x14ac:dyDescent="0.4">
      <c r="A22" s="1">
        <v>39691</v>
      </c>
      <c r="B22" s="24">
        <v>1.3155819974838501</v>
      </c>
      <c r="C22" s="24">
        <v>0.50719021440658596</v>
      </c>
      <c r="D22" s="24">
        <v>0.19289942012671399</v>
      </c>
      <c r="E22" s="24">
        <v>1.1226825773571401</v>
      </c>
    </row>
    <row r="23" spans="1:5" x14ac:dyDescent="0.4">
      <c r="A23" s="1">
        <v>39721</v>
      </c>
      <c r="B23" s="24">
        <v>1.3009531285506599</v>
      </c>
      <c r="C23" s="24">
        <v>0.49918434278899998</v>
      </c>
      <c r="D23" s="24">
        <v>0.18704367474543701</v>
      </c>
      <c r="E23" s="24">
        <v>1.1139094538052301</v>
      </c>
    </row>
    <row r="24" spans="1:5" x14ac:dyDescent="0.4">
      <c r="A24" s="1">
        <v>39752</v>
      </c>
      <c r="B24" s="24">
        <v>1.28688756421489</v>
      </c>
      <c r="C24" s="24">
        <v>0.49124159200487799</v>
      </c>
      <c r="D24" s="24">
        <v>0.175421817309134</v>
      </c>
      <c r="E24" s="24">
        <v>1.1114657469057501</v>
      </c>
    </row>
    <row r="25" spans="1:5" x14ac:dyDescent="0.4">
      <c r="A25" s="1">
        <v>39782</v>
      </c>
      <c r="B25" s="24">
        <v>1.28244650287147</v>
      </c>
      <c r="C25" s="24">
        <v>0.47867994361890698</v>
      </c>
      <c r="D25" s="24">
        <v>0.158313060799149</v>
      </c>
      <c r="E25" s="24">
        <v>1.1241334420723199</v>
      </c>
    </row>
    <row r="26" spans="1:5" x14ac:dyDescent="0.4">
      <c r="A26" s="1">
        <v>39813</v>
      </c>
      <c r="B26" s="24">
        <v>1.25029603588246</v>
      </c>
      <c r="C26" s="24">
        <v>0.45954407508759598</v>
      </c>
      <c r="D26" s="24">
        <v>0.134548479719204</v>
      </c>
      <c r="E26" s="24">
        <v>1.1157475561632599</v>
      </c>
    </row>
    <row r="27" spans="1:5" x14ac:dyDescent="0.4">
      <c r="A27" s="1">
        <v>39844</v>
      </c>
      <c r="B27" s="24">
        <v>1.2361945454166099</v>
      </c>
      <c r="C27" s="24">
        <v>0.449823423439842</v>
      </c>
      <c r="D27" s="24">
        <v>0.12023438013151801</v>
      </c>
      <c r="E27" s="24">
        <v>1.1159601652850899</v>
      </c>
    </row>
    <row r="28" spans="1:5" x14ac:dyDescent="0.4">
      <c r="A28" s="1">
        <v>39872</v>
      </c>
      <c r="B28" s="24">
        <v>1.18530462422841</v>
      </c>
      <c r="C28" s="24">
        <v>0.430903416246951</v>
      </c>
      <c r="D28" s="24">
        <v>9.66016732252378E-2</v>
      </c>
      <c r="E28" s="24">
        <v>1.08870295100317</v>
      </c>
    </row>
    <row r="29" spans="1:5" x14ac:dyDescent="0.4">
      <c r="A29" s="1">
        <v>39903</v>
      </c>
      <c r="B29" s="24">
        <v>1.14503256179992</v>
      </c>
      <c r="C29" s="24">
        <v>0.40492530025575402</v>
      </c>
      <c r="D29" s="24">
        <v>6.2010283151005E-2</v>
      </c>
      <c r="E29" s="24">
        <v>1.0830222786489201</v>
      </c>
    </row>
    <row r="30" spans="1:5" x14ac:dyDescent="0.4">
      <c r="A30" s="1">
        <v>39933</v>
      </c>
      <c r="B30" s="24">
        <v>1.18842906018509</v>
      </c>
      <c r="C30" s="24">
        <v>0.39440991991681301</v>
      </c>
      <c r="D30" s="24">
        <v>4.9167036159644101E-2</v>
      </c>
      <c r="E30" s="24">
        <v>1.1392620240254501</v>
      </c>
    </row>
    <row r="31" spans="1:5" x14ac:dyDescent="0.4">
      <c r="A31" s="1">
        <v>39964</v>
      </c>
      <c r="B31" s="24">
        <v>1.2072123254443301</v>
      </c>
      <c r="C31" s="24">
        <v>0.38789529318806798</v>
      </c>
      <c r="D31" s="24">
        <v>3.6266853677180903E-2</v>
      </c>
      <c r="E31" s="24">
        <v>1.1709454717671499</v>
      </c>
    </row>
    <row r="32" spans="1:5" x14ac:dyDescent="0.4">
      <c r="A32" s="1">
        <v>39994</v>
      </c>
      <c r="B32" s="24">
        <v>1.29640979935454</v>
      </c>
      <c r="C32" s="24">
        <v>0.380876195742819</v>
      </c>
      <c r="D32" s="24">
        <v>2.15642153571469E-2</v>
      </c>
      <c r="E32" s="24">
        <v>1.27484558399739</v>
      </c>
    </row>
    <row r="33" spans="1:5" x14ac:dyDescent="0.4">
      <c r="A33" s="1">
        <v>40025</v>
      </c>
      <c r="B33" s="24">
        <v>1.3388020710112001</v>
      </c>
      <c r="C33" s="24">
        <v>0.38056556405355402</v>
      </c>
      <c r="D33" s="24">
        <v>7.1906430784408901E-3</v>
      </c>
      <c r="E33" s="24">
        <v>1.33161142793276</v>
      </c>
    </row>
    <row r="34" spans="1:5" x14ac:dyDescent="0.4">
      <c r="A34" s="1">
        <v>40056</v>
      </c>
      <c r="B34" s="24">
        <v>1.49877519376719</v>
      </c>
      <c r="C34" s="24">
        <v>0.384787598155378</v>
      </c>
      <c r="D34" s="24">
        <v>6.0329129344999502E-3</v>
      </c>
      <c r="E34" s="24">
        <v>1.49274228083269</v>
      </c>
    </row>
    <row r="35" spans="1:5" x14ac:dyDescent="0.4">
      <c r="A35" s="1">
        <v>40086</v>
      </c>
      <c r="B35" s="24">
        <v>1.6814887446161899</v>
      </c>
      <c r="C35" s="24">
        <v>0.39446000616283899</v>
      </c>
      <c r="D35" s="24">
        <v>1.0098550925357899E-2</v>
      </c>
      <c r="E35" s="24">
        <v>1.67139019369083</v>
      </c>
    </row>
    <row r="36" spans="1:5" x14ac:dyDescent="0.4">
      <c r="A36" s="1">
        <v>40117</v>
      </c>
      <c r="B36" s="24">
        <v>1.8477449248956299</v>
      </c>
      <c r="C36" s="24">
        <v>0.40248985023918699</v>
      </c>
      <c r="D36" s="24">
        <v>2.1286143102322502E-2</v>
      </c>
      <c r="E36" s="24">
        <v>1.82645878179331</v>
      </c>
    </row>
    <row r="37" spans="1:5" x14ac:dyDescent="0.4">
      <c r="A37" s="1">
        <v>40147</v>
      </c>
      <c r="B37" s="24">
        <v>1.97817679748166</v>
      </c>
      <c r="C37" s="24">
        <v>0.41130448215612497</v>
      </c>
      <c r="D37" s="24">
        <v>3.7774444378550903E-2</v>
      </c>
      <c r="E37" s="24">
        <v>1.94040235310311</v>
      </c>
    </row>
    <row r="38" spans="1:5" x14ac:dyDescent="0.4">
      <c r="A38" s="1">
        <v>40178</v>
      </c>
      <c r="B38" s="24">
        <v>2.1364074203682999</v>
      </c>
      <c r="C38" s="24">
        <v>0.426579813223879</v>
      </c>
      <c r="D38" s="24">
        <v>6.0759296235012E-2</v>
      </c>
      <c r="E38" s="24">
        <v>2.07564812413329</v>
      </c>
    </row>
    <row r="39" spans="1:5" x14ac:dyDescent="0.4">
      <c r="A39" s="1">
        <v>40209</v>
      </c>
      <c r="B39" s="24">
        <v>2.2720188742956</v>
      </c>
      <c r="C39" s="24">
        <v>0.437003816438647</v>
      </c>
      <c r="D39" s="24">
        <v>7.9026135387418095E-2</v>
      </c>
      <c r="E39" s="24">
        <v>2.1929927389081798</v>
      </c>
    </row>
    <row r="40" spans="1:5" x14ac:dyDescent="0.4">
      <c r="A40" s="1">
        <v>40237</v>
      </c>
      <c r="B40" s="24">
        <v>2.4254957277104299</v>
      </c>
      <c r="C40" s="24">
        <v>0.45437241689446101</v>
      </c>
      <c r="D40" s="24">
        <v>0.105380004568275</v>
      </c>
      <c r="E40" s="24">
        <v>2.3201157231421599</v>
      </c>
    </row>
    <row r="41" spans="1:5" x14ac:dyDescent="0.4">
      <c r="A41" s="1">
        <v>40268</v>
      </c>
      <c r="B41" s="24">
        <v>2.5877227510797001</v>
      </c>
      <c r="C41" s="24">
        <v>0.47551064745962701</v>
      </c>
      <c r="D41" s="24">
        <v>0.14143566374095201</v>
      </c>
      <c r="E41" s="24">
        <v>2.4462870873387499</v>
      </c>
    </row>
    <row r="42" spans="1:5" x14ac:dyDescent="0.4">
      <c r="A42" s="1">
        <v>40298</v>
      </c>
      <c r="B42" s="24">
        <v>2.54671360872997</v>
      </c>
      <c r="C42" s="24">
        <v>0.48124900066371301</v>
      </c>
      <c r="D42" s="24">
        <v>0.14887108156365</v>
      </c>
      <c r="E42" s="24">
        <v>2.3978425271663202</v>
      </c>
    </row>
    <row r="43" spans="1:5" x14ac:dyDescent="0.4">
      <c r="A43" s="1">
        <v>40329</v>
      </c>
      <c r="B43" s="24">
        <v>2.5325056857207402</v>
      </c>
      <c r="C43" s="24">
        <v>0.48352804332861099</v>
      </c>
      <c r="D43" s="24">
        <v>0.15925419589293699</v>
      </c>
      <c r="E43" s="24">
        <v>2.3732514898277999</v>
      </c>
    </row>
    <row r="44" spans="1:5" x14ac:dyDescent="0.4">
      <c r="A44" s="1">
        <v>40359</v>
      </c>
      <c r="B44" s="24">
        <v>2.4359085191258099</v>
      </c>
      <c r="C44" s="24">
        <v>0.48531468656993998</v>
      </c>
      <c r="D44" s="24">
        <v>0.173026856206764</v>
      </c>
      <c r="E44" s="24">
        <v>2.26288166291905</v>
      </c>
    </row>
    <row r="45" spans="1:5" x14ac:dyDescent="0.4">
      <c r="A45" s="1">
        <v>40390</v>
      </c>
      <c r="B45" s="24">
        <v>2.3691801240474399</v>
      </c>
      <c r="C45" s="24">
        <v>0.48190495840726799</v>
      </c>
      <c r="D45" s="24">
        <v>0.18711080326240301</v>
      </c>
      <c r="E45" s="24">
        <v>2.1820693207850299</v>
      </c>
    </row>
    <row r="46" spans="1:5" x14ac:dyDescent="0.4">
      <c r="A46" s="1">
        <v>40421</v>
      </c>
      <c r="B46" s="24">
        <v>2.2014672474452199</v>
      </c>
      <c r="C46" s="24">
        <v>0.473119574282168</v>
      </c>
      <c r="D46" s="24">
        <v>0.18642651364457599</v>
      </c>
      <c r="E46" s="24">
        <v>2.0150407338006402</v>
      </c>
    </row>
    <row r="47" spans="1:5" x14ac:dyDescent="0.4">
      <c r="A47" s="1">
        <v>40451</v>
      </c>
      <c r="B47" s="24">
        <v>2.0061701891422299</v>
      </c>
      <c r="C47" s="24">
        <v>0.46168184751574398</v>
      </c>
      <c r="D47" s="24">
        <v>0.18445365366240701</v>
      </c>
      <c r="E47" s="24">
        <v>1.8217165354798299</v>
      </c>
    </row>
    <row r="48" spans="1:5" x14ac:dyDescent="0.4">
      <c r="A48" s="1">
        <v>40482</v>
      </c>
      <c r="B48" s="24">
        <v>1.8166171049217901</v>
      </c>
      <c r="C48" s="24">
        <v>0.45804018777646699</v>
      </c>
      <c r="D48" s="24">
        <v>0.183159327931643</v>
      </c>
      <c r="E48" s="24">
        <v>1.6334577769901499</v>
      </c>
    </row>
    <row r="49" spans="1:5" x14ac:dyDescent="0.4">
      <c r="A49" s="1">
        <v>40512</v>
      </c>
      <c r="B49" s="24">
        <v>1.6556442262708</v>
      </c>
      <c r="C49" s="24">
        <v>0.454337525484524</v>
      </c>
      <c r="D49" s="24">
        <v>0.180859923638301</v>
      </c>
      <c r="E49" s="24">
        <v>1.4747843026325</v>
      </c>
    </row>
    <row r="50" spans="1:5" x14ac:dyDescent="0.4">
      <c r="A50" s="1">
        <v>40543</v>
      </c>
      <c r="B50" s="24">
        <v>1.4830047715371399</v>
      </c>
      <c r="C50" s="24">
        <v>0.451011389545663</v>
      </c>
      <c r="D50" s="24">
        <v>0.17783053947507099</v>
      </c>
      <c r="E50" s="24">
        <v>1.3051742320620701</v>
      </c>
    </row>
    <row r="51" spans="1:5" x14ac:dyDescent="0.4">
      <c r="A51" s="1">
        <v>40574</v>
      </c>
      <c r="B51" s="24">
        <v>1.3517723277350999</v>
      </c>
      <c r="C51" s="24">
        <v>0.44564988549292001</v>
      </c>
      <c r="D51" s="24">
        <v>0.17625910736693801</v>
      </c>
      <c r="E51" s="24">
        <v>1.17551322036817</v>
      </c>
    </row>
    <row r="52" spans="1:5" x14ac:dyDescent="0.4">
      <c r="A52" s="1">
        <v>40602</v>
      </c>
      <c r="B52" s="24">
        <v>1.2265477559386</v>
      </c>
      <c r="C52" s="24">
        <v>0.43946836956184798</v>
      </c>
      <c r="D52" s="24">
        <v>0.175875077663463</v>
      </c>
      <c r="E52" s="24">
        <v>1.0506726782751401</v>
      </c>
    </row>
    <row r="53" spans="1:5" x14ac:dyDescent="0.4">
      <c r="A53" s="1">
        <v>40633</v>
      </c>
      <c r="B53" s="24">
        <v>1.0927479223735099</v>
      </c>
      <c r="C53" s="24">
        <v>0.44013138999254298</v>
      </c>
      <c r="D53" s="24">
        <v>0.17174147984511501</v>
      </c>
      <c r="E53" s="24">
        <v>0.92100644252839503</v>
      </c>
    </row>
    <row r="54" spans="1:5" x14ac:dyDescent="0.4">
      <c r="A54" s="1">
        <v>40663</v>
      </c>
      <c r="B54" s="24">
        <v>1.08648701701224</v>
      </c>
      <c r="C54" s="24">
        <v>0.44562360592932099</v>
      </c>
      <c r="D54" s="24">
        <v>0.17656071475385299</v>
      </c>
      <c r="E54" s="24">
        <v>0.909926302258385</v>
      </c>
    </row>
    <row r="55" spans="1:5" x14ac:dyDescent="0.4">
      <c r="A55" s="1">
        <v>40694</v>
      </c>
      <c r="B55" s="24">
        <v>1.0541119025029</v>
      </c>
      <c r="C55" s="24">
        <v>0.45278002193591099</v>
      </c>
      <c r="D55" s="24">
        <v>0.17701494836714499</v>
      </c>
      <c r="E55" s="24">
        <v>0.87709695413575595</v>
      </c>
    </row>
    <row r="56" spans="1:5" x14ac:dyDescent="0.4">
      <c r="A56" s="1">
        <v>40724</v>
      </c>
      <c r="B56" s="24">
        <v>1.04109762847084</v>
      </c>
      <c r="C56" s="24">
        <v>0.45872671720011998</v>
      </c>
      <c r="D56" s="24">
        <v>0.178854370361924</v>
      </c>
      <c r="E56" s="24">
        <v>0.862243258108919</v>
      </c>
    </row>
    <row r="57" spans="1:5" x14ac:dyDescent="0.4">
      <c r="A57" s="1">
        <v>40755</v>
      </c>
      <c r="B57" s="24">
        <v>1.0547418660030501</v>
      </c>
      <c r="C57" s="24">
        <v>0.46405569147049303</v>
      </c>
      <c r="D57" s="24">
        <v>0.17979961879662101</v>
      </c>
      <c r="E57" s="24">
        <v>0.87494224720643299</v>
      </c>
    </row>
    <row r="58" spans="1:5" x14ac:dyDescent="0.4">
      <c r="A58" s="1">
        <v>40786</v>
      </c>
      <c r="B58" s="24">
        <v>1.0658698505102899</v>
      </c>
      <c r="C58" s="24">
        <v>0.46970645473515099</v>
      </c>
      <c r="D58" s="24">
        <v>0.18474626573153399</v>
      </c>
      <c r="E58" s="24">
        <v>0.88112358477875397</v>
      </c>
    </row>
    <row r="59" spans="1:5" x14ac:dyDescent="0.4">
      <c r="A59" s="1">
        <v>40816</v>
      </c>
      <c r="B59" s="24">
        <v>1.0843813773339299</v>
      </c>
      <c r="C59" s="24">
        <v>0.472132319597381</v>
      </c>
      <c r="D59" s="24">
        <v>0.189508581209032</v>
      </c>
      <c r="E59" s="24">
        <v>0.89487279612489501</v>
      </c>
    </row>
    <row r="60" spans="1:5" x14ac:dyDescent="0.4">
      <c r="A60" s="1">
        <v>40847</v>
      </c>
      <c r="B60" s="24">
        <v>1.1056185850667599</v>
      </c>
      <c r="C60" s="24">
        <v>0.47041409188657102</v>
      </c>
      <c r="D60" s="24">
        <v>0.1916772525928</v>
      </c>
      <c r="E60" s="24">
        <v>0.91394133247395903</v>
      </c>
    </row>
    <row r="61" spans="1:5" x14ac:dyDescent="0.4">
      <c r="A61" s="1">
        <v>40877</v>
      </c>
      <c r="B61" s="24">
        <v>1.1177452791542799</v>
      </c>
      <c r="C61" s="24">
        <v>0.46842871673736203</v>
      </c>
      <c r="D61" s="24">
        <v>0.19344882936566801</v>
      </c>
      <c r="E61" s="24">
        <v>0.92429644978861403</v>
      </c>
    </row>
    <row r="62" spans="1:5" x14ac:dyDescent="0.4">
      <c r="A62" s="1">
        <v>40908</v>
      </c>
      <c r="B62" s="24">
        <v>1.1223873909995099</v>
      </c>
      <c r="C62" s="24">
        <v>0.46498673411612601</v>
      </c>
      <c r="D62" s="24">
        <v>0.192721145682864</v>
      </c>
      <c r="E62" s="24">
        <v>0.92966624531664399</v>
      </c>
    </row>
    <row r="63" spans="1:5" x14ac:dyDescent="0.4">
      <c r="A63" s="1">
        <v>40939</v>
      </c>
      <c r="B63" s="24">
        <v>1.1063640695827099</v>
      </c>
      <c r="C63" s="24">
        <v>0.46164322749652398</v>
      </c>
      <c r="D63" s="24">
        <v>0.18900421593988001</v>
      </c>
      <c r="E63" s="24">
        <v>0.91735985364282902</v>
      </c>
    </row>
    <row r="64" spans="1:5" x14ac:dyDescent="0.4">
      <c r="A64" s="1">
        <v>40968</v>
      </c>
      <c r="B64" s="24">
        <v>1.0799202888041199</v>
      </c>
      <c r="C64" s="24">
        <v>0.45444031568561799</v>
      </c>
      <c r="D64" s="24">
        <v>0.18122740629121301</v>
      </c>
      <c r="E64" s="24">
        <v>0.89869288251290602</v>
      </c>
    </row>
    <row r="65" spans="1:5" x14ac:dyDescent="0.4">
      <c r="A65" s="1">
        <v>40999</v>
      </c>
      <c r="B65" s="24">
        <v>1.06325953371439</v>
      </c>
      <c r="C65" s="24">
        <v>0.44267714706794797</v>
      </c>
      <c r="D65" s="24">
        <v>0.176362672982602</v>
      </c>
      <c r="E65" s="24">
        <v>0.88689686073178897</v>
      </c>
    </row>
    <row r="66" spans="1:5" x14ac:dyDescent="0.4">
      <c r="A66" s="1">
        <v>41029</v>
      </c>
      <c r="B66" s="24">
        <v>1.0675924694077801</v>
      </c>
      <c r="C66" s="24">
        <v>0.43150737557830998</v>
      </c>
      <c r="D66" s="24">
        <v>0.170426197865236</v>
      </c>
      <c r="E66" s="24">
        <v>0.89716627154254402</v>
      </c>
    </row>
    <row r="67" spans="1:5" x14ac:dyDescent="0.4">
      <c r="A67" s="1">
        <v>41060</v>
      </c>
      <c r="B67" s="24">
        <v>1.09279401994012</v>
      </c>
      <c r="C67" s="24">
        <v>0.41982007621459899</v>
      </c>
      <c r="D67" s="24">
        <v>0.167805783803611</v>
      </c>
      <c r="E67" s="24">
        <v>0.92498823613650605</v>
      </c>
    </row>
    <row r="68" spans="1:5" x14ac:dyDescent="0.4">
      <c r="A68" s="1">
        <v>41090</v>
      </c>
      <c r="B68" s="24">
        <v>1.0953329646738601</v>
      </c>
      <c r="C68" s="24">
        <v>0.407599550108036</v>
      </c>
      <c r="D68" s="24">
        <v>0.16217887467287201</v>
      </c>
      <c r="E68" s="24">
        <v>0.93315409000098903</v>
      </c>
    </row>
    <row r="69" spans="1:5" x14ac:dyDescent="0.4">
      <c r="A69" s="1">
        <v>41121</v>
      </c>
      <c r="B69" s="24">
        <v>1.0949587187190699</v>
      </c>
      <c r="C69" s="24">
        <v>0.39462176925710102</v>
      </c>
      <c r="D69" s="24">
        <v>0.156263237756537</v>
      </c>
      <c r="E69" s="24">
        <v>0.93869548096253397</v>
      </c>
    </row>
    <row r="70" spans="1:5" x14ac:dyDescent="0.4">
      <c r="A70" s="1">
        <v>41152</v>
      </c>
      <c r="B70" s="24">
        <v>1.1184076899828801</v>
      </c>
      <c r="C70" s="24">
        <v>0.38879043027478499</v>
      </c>
      <c r="D70" s="24">
        <v>0.147792701274639</v>
      </c>
      <c r="E70" s="24">
        <v>0.97061498870824203</v>
      </c>
    </row>
    <row r="71" spans="1:5" x14ac:dyDescent="0.4">
      <c r="A71" s="1">
        <v>41182</v>
      </c>
      <c r="B71" s="24">
        <v>1.1261424109641001</v>
      </c>
      <c r="C71" s="24">
        <v>0.38486880593331202</v>
      </c>
      <c r="D71" s="24">
        <v>0.13779913374952299</v>
      </c>
      <c r="E71" s="24">
        <v>0.98834327721457305</v>
      </c>
    </row>
    <row r="72" spans="1:5" x14ac:dyDescent="0.4">
      <c r="A72" s="1">
        <v>41213</v>
      </c>
      <c r="B72" s="24">
        <v>1.19143812190212</v>
      </c>
      <c r="C72" s="24">
        <v>0.38113569430634803</v>
      </c>
      <c r="D72" s="24">
        <v>0.129563756663336</v>
      </c>
      <c r="E72" s="24">
        <v>1.0618743652387901</v>
      </c>
    </row>
    <row r="73" spans="1:5" x14ac:dyDescent="0.4">
      <c r="A73" s="1">
        <v>41243</v>
      </c>
      <c r="B73" s="24">
        <v>1.2326566208215599</v>
      </c>
      <c r="C73" s="24">
        <v>0.37881436309476102</v>
      </c>
      <c r="D73" s="24">
        <v>0.121626806607657</v>
      </c>
      <c r="E73" s="24">
        <v>1.1110298142138999</v>
      </c>
    </row>
    <row r="74" spans="1:5" x14ac:dyDescent="0.4">
      <c r="A74" s="1">
        <v>41274</v>
      </c>
      <c r="B74" s="24">
        <v>1.2793703154454701</v>
      </c>
      <c r="C74" s="24">
        <v>0.37681794655996398</v>
      </c>
      <c r="D74" s="24">
        <v>0.112058868025739</v>
      </c>
      <c r="E74" s="24">
        <v>1.1673114474197299</v>
      </c>
    </row>
    <row r="75" spans="1:5" x14ac:dyDescent="0.4">
      <c r="A75" s="1">
        <v>41305</v>
      </c>
      <c r="B75" s="24">
        <v>1.30137275396105</v>
      </c>
      <c r="C75" s="24">
        <v>0.37658060598787602</v>
      </c>
      <c r="D75" s="24">
        <v>0.111390787856165</v>
      </c>
      <c r="E75" s="24">
        <v>1.18998196610489</v>
      </c>
    </row>
    <row r="76" spans="1:5" x14ac:dyDescent="0.4">
      <c r="A76" s="1">
        <v>41333</v>
      </c>
      <c r="B76" s="24">
        <v>1.3079024932082699</v>
      </c>
      <c r="C76" s="24">
        <v>0.37719508237445198</v>
      </c>
      <c r="D76" s="24">
        <v>0.109222066769345</v>
      </c>
      <c r="E76" s="24">
        <v>1.1986804264389199</v>
      </c>
    </row>
    <row r="77" spans="1:5" x14ac:dyDescent="0.4">
      <c r="A77" s="1">
        <v>41364</v>
      </c>
      <c r="B77" s="24">
        <v>1.3249306613543099</v>
      </c>
      <c r="C77" s="24">
        <v>0.37620179665541298</v>
      </c>
      <c r="D77" s="24">
        <v>0.109016585794007</v>
      </c>
      <c r="E77" s="24">
        <v>1.2159140755603</v>
      </c>
    </row>
    <row r="78" spans="1:5" x14ac:dyDescent="0.4">
      <c r="A78" s="1">
        <v>41394</v>
      </c>
      <c r="B78" s="24">
        <v>1.3684936905699601</v>
      </c>
      <c r="C78" s="24">
        <v>0.37499607977314098</v>
      </c>
      <c r="D78" s="24">
        <v>0.111316665980563</v>
      </c>
      <c r="E78" s="24">
        <v>1.2571770245894001</v>
      </c>
    </row>
    <row r="79" spans="1:5" x14ac:dyDescent="0.4">
      <c r="A79" s="1">
        <v>41425</v>
      </c>
      <c r="B79" s="24">
        <v>1.36761082960441</v>
      </c>
      <c r="C79" s="24">
        <v>0.37580241719663199</v>
      </c>
      <c r="D79" s="24">
        <v>0.113000812270421</v>
      </c>
      <c r="E79" s="24">
        <v>1.25461001733399</v>
      </c>
    </row>
    <row r="80" spans="1:5" x14ac:dyDescent="0.4">
      <c r="A80" s="1">
        <v>41455</v>
      </c>
      <c r="B80" s="24">
        <v>1.3862584753674201</v>
      </c>
      <c r="C80" s="24">
        <v>0.37797327640092898</v>
      </c>
      <c r="D80" s="24">
        <v>0.116088547528325</v>
      </c>
      <c r="E80" s="24">
        <v>1.2701699278390901</v>
      </c>
    </row>
    <row r="81" spans="1:5" x14ac:dyDescent="0.4">
      <c r="A81" s="1">
        <v>41486</v>
      </c>
      <c r="B81" s="24">
        <v>1.42960383733324</v>
      </c>
      <c r="C81" s="24">
        <v>0.38158408775552699</v>
      </c>
      <c r="D81" s="24">
        <v>0.119310039517144</v>
      </c>
      <c r="E81" s="24">
        <v>1.3102937978161</v>
      </c>
    </row>
    <row r="82" spans="1:5" x14ac:dyDescent="0.4">
      <c r="A82" s="1">
        <v>41517</v>
      </c>
      <c r="B82" s="24">
        <v>1.4582285761437701</v>
      </c>
      <c r="C82" s="24">
        <v>0.38310560811448302</v>
      </c>
      <c r="D82" s="24">
        <v>0.123302204394072</v>
      </c>
      <c r="E82" s="24">
        <v>1.3349263717497</v>
      </c>
    </row>
    <row r="83" spans="1:5" x14ac:dyDescent="0.4">
      <c r="A83" s="1">
        <v>41547</v>
      </c>
      <c r="B83" s="24">
        <v>1.4802958517434699</v>
      </c>
      <c r="C83" s="24">
        <v>0.386629292787464</v>
      </c>
      <c r="D83" s="24">
        <v>0.12619707813699499</v>
      </c>
      <c r="E83" s="24">
        <v>1.35409877360647</v>
      </c>
    </row>
    <row r="84" spans="1:5" x14ac:dyDescent="0.4">
      <c r="A84" s="1">
        <v>41578</v>
      </c>
      <c r="B84" s="24">
        <v>1.45003209252319</v>
      </c>
      <c r="C84" s="24">
        <v>0.38578959730326801</v>
      </c>
      <c r="D84" s="24">
        <v>0.128381177483606</v>
      </c>
      <c r="E84" s="24">
        <v>1.3216509150395801</v>
      </c>
    </row>
    <row r="85" spans="1:5" x14ac:dyDescent="0.4">
      <c r="A85" s="1">
        <v>41608</v>
      </c>
      <c r="B85" s="24">
        <v>1.4418719853951201</v>
      </c>
      <c r="C85" s="24">
        <v>0.38410217210373498</v>
      </c>
      <c r="D85" s="24">
        <v>0.129993504499647</v>
      </c>
      <c r="E85" s="24">
        <v>1.31187848089547</v>
      </c>
    </row>
    <row r="86" spans="1:5" x14ac:dyDescent="0.4">
      <c r="A86" s="1">
        <v>41639</v>
      </c>
      <c r="B86" s="24">
        <v>1.4403810572492399</v>
      </c>
      <c r="C86" s="24">
        <v>0.38619815643087901</v>
      </c>
      <c r="D86" s="24">
        <v>0.132756958792769</v>
      </c>
      <c r="E86" s="24">
        <v>1.30762409845647</v>
      </c>
    </row>
    <row r="87" spans="1:5" x14ac:dyDescent="0.4">
      <c r="A87" s="1">
        <v>41670</v>
      </c>
      <c r="B87" s="24">
        <v>1.4674104512122299</v>
      </c>
      <c r="C87" s="24">
        <v>0.38676762747490001</v>
      </c>
      <c r="D87" s="24">
        <v>0.133713548827183</v>
      </c>
      <c r="E87" s="24">
        <v>1.33369690238505</v>
      </c>
    </row>
    <row r="88" spans="1:5" x14ac:dyDescent="0.4">
      <c r="A88" s="1">
        <v>41698</v>
      </c>
      <c r="B88" s="24">
        <v>1.5002983916120001</v>
      </c>
      <c r="C88" s="24">
        <v>0.38858347644715402</v>
      </c>
      <c r="D88" s="24">
        <v>0.136806891578485</v>
      </c>
      <c r="E88" s="24">
        <v>1.3634915000335199</v>
      </c>
    </row>
    <row r="89" spans="1:5" x14ac:dyDescent="0.4">
      <c r="A89" s="1">
        <v>41729</v>
      </c>
      <c r="B89" s="24">
        <v>1.519588916322</v>
      </c>
      <c r="C89" s="24">
        <v>0.39039128672679901</v>
      </c>
      <c r="D89" s="24">
        <v>0.136286442594961</v>
      </c>
      <c r="E89" s="24">
        <v>1.3833024737270401</v>
      </c>
    </row>
    <row r="90" spans="1:5" x14ac:dyDescent="0.4">
      <c r="A90" s="1">
        <v>41759</v>
      </c>
      <c r="B90" s="24">
        <v>1.4634806084326699</v>
      </c>
      <c r="C90" s="24">
        <v>0.39052491309401199</v>
      </c>
      <c r="D90" s="24">
        <v>0.133001247734501</v>
      </c>
      <c r="E90" s="24">
        <v>1.33047936069816</v>
      </c>
    </row>
    <row r="91" spans="1:5" x14ac:dyDescent="0.4">
      <c r="A91" s="1">
        <v>41790</v>
      </c>
      <c r="B91" s="24">
        <v>1.4240705197194099</v>
      </c>
      <c r="C91" s="24">
        <v>0.388109196699916</v>
      </c>
      <c r="D91" s="24">
        <v>0.130066336713203</v>
      </c>
      <c r="E91" s="24">
        <v>1.2940041830062099</v>
      </c>
    </row>
    <row r="92" spans="1:5" x14ac:dyDescent="0.4">
      <c r="A92" s="1">
        <v>41820</v>
      </c>
      <c r="B92" s="24">
        <v>1.3880686911965301</v>
      </c>
      <c r="C92" s="24">
        <v>0.38555373425424999</v>
      </c>
      <c r="D92" s="24">
        <v>0.126600859544311</v>
      </c>
      <c r="E92" s="24">
        <v>1.2614678316522201</v>
      </c>
    </row>
    <row r="93" spans="1:5" x14ac:dyDescent="0.4">
      <c r="A93" s="1">
        <v>41851</v>
      </c>
      <c r="B93" s="24">
        <v>1.3388805160864099</v>
      </c>
      <c r="C93" s="24">
        <v>0.38063775652132797</v>
      </c>
      <c r="D93" s="24">
        <v>0.122644883181666</v>
      </c>
      <c r="E93" s="24">
        <v>1.2162356329047499</v>
      </c>
    </row>
    <row r="94" spans="1:5" x14ac:dyDescent="0.4">
      <c r="A94" s="1">
        <v>41882</v>
      </c>
      <c r="B94" s="24">
        <v>1.2817272610913899</v>
      </c>
      <c r="C94" s="24">
        <v>0.37757690167128399</v>
      </c>
      <c r="D94" s="24">
        <v>0.120576394908534</v>
      </c>
      <c r="E94" s="24">
        <v>1.16115086618286</v>
      </c>
    </row>
    <row r="95" spans="1:5" x14ac:dyDescent="0.4">
      <c r="A95" s="1">
        <v>41912</v>
      </c>
      <c r="B95" s="24">
        <v>1.2603982094459401</v>
      </c>
      <c r="C95" s="24">
        <v>0.37693435004236497</v>
      </c>
      <c r="D95" s="24">
        <v>0.123532098501131</v>
      </c>
      <c r="E95" s="24">
        <v>1.1368661109448099</v>
      </c>
    </row>
    <row r="96" spans="1:5" x14ac:dyDescent="0.4">
      <c r="A96" s="1">
        <v>41943</v>
      </c>
      <c r="B96" s="24">
        <v>1.239345464161</v>
      </c>
      <c r="C96" s="24">
        <v>0.38152789353118499</v>
      </c>
      <c r="D96" s="24">
        <v>0.12522850634433499</v>
      </c>
      <c r="E96" s="24">
        <v>1.1141169578166601</v>
      </c>
    </row>
    <row r="97" spans="1:5" x14ac:dyDescent="0.4">
      <c r="A97" s="1">
        <v>41973</v>
      </c>
      <c r="B97" s="24">
        <v>1.23224183310751</v>
      </c>
      <c r="C97" s="24">
        <v>0.38820862179084598</v>
      </c>
      <c r="D97" s="24">
        <v>0.125782101442908</v>
      </c>
      <c r="E97" s="24">
        <v>1.1064597316646001</v>
      </c>
    </row>
    <row r="98" spans="1:5" x14ac:dyDescent="0.4">
      <c r="A98" s="1">
        <v>42004</v>
      </c>
      <c r="B98" s="24">
        <v>1.2184406760161799</v>
      </c>
      <c r="C98" s="24">
        <v>0.39132991646318099</v>
      </c>
      <c r="D98" s="24">
        <v>0.127486124048349</v>
      </c>
      <c r="E98" s="24">
        <v>1.0909545519678301</v>
      </c>
    </row>
    <row r="99" spans="1:5" x14ac:dyDescent="0.4">
      <c r="A99" s="1">
        <v>42035</v>
      </c>
      <c r="B99" s="24">
        <v>1.19449293839891</v>
      </c>
      <c r="C99" s="24">
        <v>0.394171612934478</v>
      </c>
      <c r="D99" s="24">
        <v>0.12730480822023099</v>
      </c>
      <c r="E99" s="24">
        <v>1.0671881301786801</v>
      </c>
    </row>
    <row r="100" spans="1:5" x14ac:dyDescent="0.4">
      <c r="A100" s="1">
        <v>42063</v>
      </c>
      <c r="B100" s="24">
        <v>1.17388854450786</v>
      </c>
      <c r="C100" s="24">
        <v>0.39680982125296999</v>
      </c>
      <c r="D100" s="24">
        <v>0.127057465952747</v>
      </c>
      <c r="E100" s="24">
        <v>1.04683107855511</v>
      </c>
    </row>
    <row r="101" spans="1:5" x14ac:dyDescent="0.4">
      <c r="A101" s="1">
        <v>42094</v>
      </c>
      <c r="B101" s="24">
        <v>1.15955033069519</v>
      </c>
      <c r="C101" s="24">
        <v>0.40255496570111599</v>
      </c>
      <c r="D101" s="24">
        <v>0.12700439641418301</v>
      </c>
      <c r="E101" s="24">
        <v>1.0325459342809999</v>
      </c>
    </row>
    <row r="102" spans="1:5" x14ac:dyDescent="0.4">
      <c r="A102" s="1">
        <v>42124</v>
      </c>
      <c r="B102" s="24">
        <v>1.20097512839791</v>
      </c>
      <c r="C102" s="24">
        <v>0.41750422804496801</v>
      </c>
      <c r="D102" s="24">
        <v>0.13032759419055501</v>
      </c>
      <c r="E102" s="24">
        <v>1.07064753420736</v>
      </c>
    </row>
    <row r="103" spans="1:5" x14ac:dyDescent="0.4">
      <c r="A103" s="1">
        <v>42155</v>
      </c>
      <c r="B103" s="24">
        <v>1.26025753849459</v>
      </c>
      <c r="C103" s="24">
        <v>0.43586736013648802</v>
      </c>
      <c r="D103" s="24">
        <v>0.135110747932953</v>
      </c>
      <c r="E103" s="24">
        <v>1.1251467905616399</v>
      </c>
    </row>
    <row r="104" spans="1:5" x14ac:dyDescent="0.4">
      <c r="A104" s="1">
        <v>42185</v>
      </c>
      <c r="B104" s="24">
        <v>1.37943133686802</v>
      </c>
      <c r="C104" s="24">
        <v>0.45557232938893899</v>
      </c>
      <c r="D104" s="24">
        <v>0.142148021539482</v>
      </c>
      <c r="E104" s="24">
        <v>1.2372833153285301</v>
      </c>
    </row>
    <row r="105" spans="1:5" x14ac:dyDescent="0.4">
      <c r="A105" s="1">
        <v>42216</v>
      </c>
      <c r="B105" s="24">
        <v>1.4993760722241101</v>
      </c>
      <c r="C105" s="24">
        <v>0.47934615478452602</v>
      </c>
      <c r="D105" s="24">
        <v>0.14918604202775201</v>
      </c>
      <c r="E105" s="24">
        <v>1.3501900301963601</v>
      </c>
    </row>
    <row r="106" spans="1:5" x14ac:dyDescent="0.4">
      <c r="A106" s="1">
        <v>42247</v>
      </c>
      <c r="B106" s="24">
        <v>1.6424093709778</v>
      </c>
      <c r="C106" s="24">
        <v>0.49101628409225101</v>
      </c>
      <c r="D106" s="24">
        <v>0.151649379096922</v>
      </c>
      <c r="E106" s="24">
        <v>1.49075999188088</v>
      </c>
    </row>
    <row r="107" spans="1:5" x14ac:dyDescent="0.4">
      <c r="A107" s="1">
        <v>42277</v>
      </c>
      <c r="B107" s="24">
        <v>1.7612196064080801</v>
      </c>
      <c r="C107" s="24">
        <v>0.50069459910871905</v>
      </c>
      <c r="D107" s="24">
        <v>0.14917045124605599</v>
      </c>
      <c r="E107" s="24">
        <v>1.61204915516202</v>
      </c>
    </row>
    <row r="108" spans="1:5" x14ac:dyDescent="0.4">
      <c r="A108" s="1">
        <v>42308</v>
      </c>
      <c r="B108" s="24">
        <v>1.8526709739118701</v>
      </c>
      <c r="C108" s="24">
        <v>0.51249720097400797</v>
      </c>
      <c r="D108" s="24">
        <v>0.14630324982798401</v>
      </c>
      <c r="E108" s="24">
        <v>1.7063677240838899</v>
      </c>
    </row>
    <row r="109" spans="1:5" x14ac:dyDescent="0.4">
      <c r="A109" s="1">
        <v>42338</v>
      </c>
      <c r="B109" s="24">
        <v>1.9121876750675399</v>
      </c>
      <c r="C109" s="24">
        <v>0.52298061521569505</v>
      </c>
      <c r="D109" s="24">
        <v>0.146461048840793</v>
      </c>
      <c r="E109" s="24">
        <v>1.7657266262267499</v>
      </c>
    </row>
    <row r="110" spans="1:5" x14ac:dyDescent="0.4">
      <c r="A110" s="1">
        <v>42369</v>
      </c>
      <c r="B110" s="24">
        <v>1.95853904091426</v>
      </c>
      <c r="C110" s="24">
        <v>0.53336210734368605</v>
      </c>
      <c r="D110" s="24">
        <v>0.14478458518878001</v>
      </c>
      <c r="E110" s="24">
        <v>1.8137544557254801</v>
      </c>
    </row>
    <row r="111" spans="1:5" x14ac:dyDescent="0.4">
      <c r="A111" s="1">
        <v>42400</v>
      </c>
      <c r="B111" s="24">
        <v>1.9998471481136</v>
      </c>
      <c r="C111" s="24">
        <v>0.53623698805173703</v>
      </c>
      <c r="D111" s="24">
        <v>0.143115290797174</v>
      </c>
      <c r="E111" s="24">
        <v>1.85673185731642</v>
      </c>
    </row>
    <row r="112" spans="1:5" x14ac:dyDescent="0.4">
      <c r="A112" s="1">
        <v>42429</v>
      </c>
      <c r="B112" s="24">
        <v>2.0370500119817301</v>
      </c>
      <c r="C112" s="24">
        <v>0.53661505667899201</v>
      </c>
      <c r="D112" s="24">
        <v>0.13536575621614999</v>
      </c>
      <c r="E112" s="24">
        <v>1.90168425576558</v>
      </c>
    </row>
    <row r="113" spans="1:5" x14ac:dyDescent="0.4">
      <c r="A113" s="1">
        <v>42460</v>
      </c>
      <c r="B113" s="24">
        <v>2.0784951968404002</v>
      </c>
      <c r="C113" s="24">
        <v>0.532410360318887</v>
      </c>
      <c r="D113" s="24">
        <v>0.12779413804194001</v>
      </c>
      <c r="E113" s="24">
        <v>1.9507010587984599</v>
      </c>
    </row>
    <row r="114" spans="1:5" x14ac:dyDescent="0.4">
      <c r="A114" s="1">
        <v>42490</v>
      </c>
      <c r="B114" s="24">
        <v>2.17721894544741</v>
      </c>
      <c r="C114" s="24">
        <v>0.53059644929727601</v>
      </c>
      <c r="D114" s="24">
        <v>0.12573655235973299</v>
      </c>
      <c r="E114" s="24">
        <v>2.05148239308767</v>
      </c>
    </row>
    <row r="115" spans="1:5" x14ac:dyDescent="0.4">
      <c r="A115" s="1">
        <v>42521</v>
      </c>
      <c r="B115" s="24">
        <v>2.3034378808669498</v>
      </c>
      <c r="C115" s="24">
        <v>0.52536226111713902</v>
      </c>
      <c r="D115" s="24">
        <v>0.122136560380527</v>
      </c>
      <c r="E115" s="24">
        <v>2.18130132048642</v>
      </c>
    </row>
    <row r="116" spans="1:5" x14ac:dyDescent="0.4">
      <c r="A116" s="1">
        <v>42551</v>
      </c>
      <c r="B116" s="24">
        <v>2.3811192566118899</v>
      </c>
      <c r="C116" s="24">
        <v>0.51728026992694298</v>
      </c>
      <c r="D116" s="24">
        <v>0.117487137761029</v>
      </c>
      <c r="E116" s="24">
        <v>2.2636321188508601</v>
      </c>
    </row>
    <row r="117" spans="1:5" x14ac:dyDescent="0.4">
      <c r="A117" s="1">
        <v>42582</v>
      </c>
      <c r="B117" s="24">
        <v>2.5061955647703802</v>
      </c>
      <c r="C117" s="24">
        <v>0.510277608580605</v>
      </c>
      <c r="D117" s="24">
        <v>0.111428901196911</v>
      </c>
      <c r="E117" s="24">
        <v>2.3947666635734701</v>
      </c>
    </row>
    <row r="118" spans="1:5" x14ac:dyDescent="0.4">
      <c r="A118" s="1">
        <v>42613</v>
      </c>
      <c r="B118" s="24">
        <v>2.5262202383905099</v>
      </c>
      <c r="C118" s="24">
        <v>0.51652958474354504</v>
      </c>
      <c r="D118" s="24">
        <v>0.11221634858035499</v>
      </c>
      <c r="E118" s="24">
        <v>2.4140038898101501</v>
      </c>
    </row>
    <row r="119" spans="1:5" x14ac:dyDescent="0.4">
      <c r="A119" s="1">
        <v>42643</v>
      </c>
      <c r="B119" s="24">
        <v>2.5707284525626499</v>
      </c>
      <c r="C119" s="24">
        <v>0.52440864078767202</v>
      </c>
      <c r="D119" s="24">
        <v>0.116672278474757</v>
      </c>
      <c r="E119" s="24">
        <v>2.4540561740878899</v>
      </c>
    </row>
    <row r="120" spans="1:5" x14ac:dyDescent="0.4">
      <c r="A120" s="1">
        <v>42674</v>
      </c>
      <c r="B120" s="24">
        <v>2.6188425292037598</v>
      </c>
      <c r="C120" s="24">
        <v>0.52262641991539704</v>
      </c>
      <c r="D120" s="24">
        <v>0.12447412767749801</v>
      </c>
      <c r="E120" s="24">
        <v>2.4943684015262599</v>
      </c>
    </row>
    <row r="121" spans="1:5" x14ac:dyDescent="0.4">
      <c r="A121" s="1">
        <v>42704</v>
      </c>
      <c r="B121" s="24">
        <v>2.6602576387922099</v>
      </c>
      <c r="C121" s="24">
        <v>0.52345216380066195</v>
      </c>
      <c r="D121" s="24">
        <v>0.13072273078079899</v>
      </c>
      <c r="E121" s="24">
        <v>2.52953490801141</v>
      </c>
    </row>
    <row r="122" spans="1:5" x14ac:dyDescent="0.4">
      <c r="A122" s="1">
        <v>42735</v>
      </c>
      <c r="B122" s="24">
        <v>2.7687641797145801</v>
      </c>
      <c r="C122" s="24">
        <v>0.52378227752016804</v>
      </c>
      <c r="D122" s="24">
        <v>0.13810158730604799</v>
      </c>
      <c r="E122" s="24">
        <v>2.6306625924085298</v>
      </c>
    </row>
    <row r="123" spans="1:5" x14ac:dyDescent="0.4">
      <c r="A123" s="1">
        <v>42766</v>
      </c>
      <c r="B123" s="24">
        <v>2.8016142846805199</v>
      </c>
      <c r="C123" s="24">
        <v>0.52945987235071101</v>
      </c>
      <c r="D123" s="24">
        <v>0.14375453437323399</v>
      </c>
      <c r="E123" s="24">
        <v>2.6578597503072801</v>
      </c>
    </row>
    <row r="124" spans="1:5" x14ac:dyDescent="0.4">
      <c r="A124" s="1">
        <v>42794</v>
      </c>
      <c r="B124" s="24">
        <v>2.8758673027825101</v>
      </c>
      <c r="C124" s="24">
        <v>0.55176124608962396</v>
      </c>
      <c r="D124" s="24">
        <v>0.15917584213993499</v>
      </c>
      <c r="E124" s="24">
        <v>2.7166914606425698</v>
      </c>
    </row>
    <row r="125" spans="1:5" x14ac:dyDescent="0.4">
      <c r="A125" s="1">
        <v>42825</v>
      </c>
      <c r="B125" s="24">
        <v>2.95260557806168</v>
      </c>
      <c r="C125" s="24">
        <v>0.56762747153744797</v>
      </c>
      <c r="D125" s="24">
        <v>0.17192311149033301</v>
      </c>
      <c r="E125" s="24">
        <v>2.7806824665713501</v>
      </c>
    </row>
    <row r="126" spans="1:5" x14ac:dyDescent="0.4">
      <c r="A126" s="1">
        <v>42855</v>
      </c>
      <c r="B126" s="24">
        <v>2.86182007418138</v>
      </c>
      <c r="C126" s="24">
        <v>0.56466963716896101</v>
      </c>
      <c r="D126" s="24">
        <v>0.17543658511454199</v>
      </c>
      <c r="E126" s="24">
        <v>2.6863834890668401</v>
      </c>
    </row>
    <row r="127" spans="1:5" x14ac:dyDescent="0.4">
      <c r="A127" s="1">
        <v>42886</v>
      </c>
      <c r="B127" s="24">
        <v>2.7121730234002799</v>
      </c>
      <c r="C127" s="24">
        <v>0.55944843590808502</v>
      </c>
      <c r="D127" s="24">
        <v>0.176932403438365</v>
      </c>
      <c r="E127" s="24">
        <v>2.53524061996192</v>
      </c>
    </row>
    <row r="128" spans="1:5" x14ac:dyDescent="0.4">
      <c r="A128" s="1">
        <v>42916</v>
      </c>
      <c r="B128" s="24">
        <v>2.5498018530355702</v>
      </c>
      <c r="C128" s="24">
        <v>0.55740906169135296</v>
      </c>
      <c r="D128" s="24">
        <v>0.176019738670769</v>
      </c>
      <c r="E128" s="24">
        <v>2.3737821143648001</v>
      </c>
    </row>
    <row r="129" spans="1:5" x14ac:dyDescent="0.4">
      <c r="A129" s="1">
        <v>42947</v>
      </c>
      <c r="B129" s="24">
        <v>2.34686923108737</v>
      </c>
      <c r="C129" s="24">
        <v>0.54986782246658905</v>
      </c>
      <c r="D129" s="24">
        <v>0.17786811790419901</v>
      </c>
      <c r="E129" s="24">
        <v>2.1690011131831701</v>
      </c>
    </row>
    <row r="130" spans="1:5" x14ac:dyDescent="0.4">
      <c r="A130" s="1">
        <v>42978</v>
      </c>
      <c r="B130" s="24">
        <v>2.2075412662508</v>
      </c>
      <c r="C130" s="24">
        <v>0.53606218206096401</v>
      </c>
      <c r="D130" s="24">
        <v>0.17676784013118299</v>
      </c>
      <c r="E130" s="24">
        <v>2.03077342611962</v>
      </c>
    </row>
    <row r="131" spans="1:5" x14ac:dyDescent="0.4">
      <c r="A131" s="1">
        <v>43008</v>
      </c>
      <c r="B131" s="24">
        <v>2.0551867568622399</v>
      </c>
      <c r="C131" s="24">
        <v>0.51845825868378004</v>
      </c>
      <c r="D131" s="24">
        <v>0.17583910943939199</v>
      </c>
      <c r="E131" s="24">
        <v>1.8793476474228401</v>
      </c>
    </row>
    <row r="132" spans="1:5" x14ac:dyDescent="0.4">
      <c r="A132" s="1">
        <v>43039</v>
      </c>
      <c r="B132" s="24">
        <v>1.90133105735103</v>
      </c>
      <c r="C132" s="24">
        <v>0.50963570382093903</v>
      </c>
      <c r="D132" s="24">
        <v>0.171205076920347</v>
      </c>
      <c r="E132" s="24">
        <v>1.7301259804306801</v>
      </c>
    </row>
    <row r="133" spans="1:5" x14ac:dyDescent="0.4">
      <c r="A133" s="1">
        <v>43069</v>
      </c>
      <c r="B133" s="24">
        <v>1.77048492163305</v>
      </c>
      <c r="C133" s="24">
        <v>0.49418494497785598</v>
      </c>
      <c r="D133" s="24">
        <v>0.165539096814142</v>
      </c>
      <c r="E133" s="24">
        <v>1.6049458248188999</v>
      </c>
    </row>
    <row r="134" spans="1:5" x14ac:dyDescent="0.4">
      <c r="A134" s="1">
        <v>43100</v>
      </c>
      <c r="B134" s="24">
        <v>1.5847676751287001</v>
      </c>
      <c r="C134" s="24">
        <v>0.47773604767355099</v>
      </c>
      <c r="D134" s="24">
        <v>0.16009351285515699</v>
      </c>
      <c r="E134" s="24">
        <v>1.4246741622735499</v>
      </c>
    </row>
    <row r="135" spans="1:5" x14ac:dyDescent="0.4">
      <c r="A135" s="1">
        <v>43131</v>
      </c>
      <c r="B135" s="24">
        <v>1.5016679838342999</v>
      </c>
      <c r="C135" s="24">
        <v>0.471413274226826</v>
      </c>
      <c r="D135" s="24">
        <v>0.15875524621574799</v>
      </c>
      <c r="E135" s="24">
        <v>1.3429127376185499</v>
      </c>
    </row>
    <row r="136" spans="1:5" x14ac:dyDescent="0.4">
      <c r="A136" s="1">
        <v>43159</v>
      </c>
      <c r="B136" s="24">
        <v>1.41281376265658</v>
      </c>
      <c r="C136" s="24">
        <v>0.46067148415529002</v>
      </c>
      <c r="D136" s="24">
        <v>0.15556581209436501</v>
      </c>
      <c r="E136" s="24">
        <v>1.2572479505622101</v>
      </c>
    </row>
    <row r="137" spans="1:5" x14ac:dyDescent="0.4">
      <c r="A137" s="1">
        <v>43190</v>
      </c>
      <c r="B137" s="24">
        <v>1.2960195209489001</v>
      </c>
      <c r="C137" s="24">
        <v>0.448552320715213</v>
      </c>
      <c r="D137" s="24">
        <v>0.15285331934474</v>
      </c>
      <c r="E137" s="24">
        <v>1.1431662016041599</v>
      </c>
    </row>
    <row r="138" spans="1:5" x14ac:dyDescent="0.4">
      <c r="A138" s="1">
        <v>43220</v>
      </c>
      <c r="B138" s="24">
        <v>1.22847870004653</v>
      </c>
      <c r="C138" s="24">
        <v>0.43809844812583298</v>
      </c>
      <c r="D138" s="24">
        <v>0.14547386895279699</v>
      </c>
      <c r="E138" s="24">
        <v>1.0830048310937299</v>
      </c>
    </row>
    <row r="139" spans="1:5" x14ac:dyDescent="0.4">
      <c r="A139" s="1">
        <v>43251</v>
      </c>
      <c r="B139" s="24">
        <v>1.20011037396096</v>
      </c>
      <c r="C139" s="24">
        <v>0.42760226214692298</v>
      </c>
      <c r="D139" s="24">
        <v>0.13973896812389899</v>
      </c>
      <c r="E139" s="24">
        <v>1.0603714058370599</v>
      </c>
    </row>
    <row r="140" spans="1:5" x14ac:dyDescent="0.4">
      <c r="A140" s="1">
        <v>43281</v>
      </c>
      <c r="B140" s="24">
        <v>1.16513795038296</v>
      </c>
      <c r="C140" s="24">
        <v>0.41509345989264201</v>
      </c>
      <c r="D140" s="24">
        <v>0.13622995972093899</v>
      </c>
      <c r="E140" s="24">
        <v>1.02890799066202</v>
      </c>
    </row>
    <row r="141" spans="1:5" x14ac:dyDescent="0.4">
      <c r="A141" s="1">
        <v>43312</v>
      </c>
      <c r="B141" s="24">
        <v>1.1057279020984501</v>
      </c>
      <c r="C141" s="24">
        <v>0.40295647566604398</v>
      </c>
      <c r="D141" s="24">
        <v>0.13013146277012</v>
      </c>
      <c r="E141" s="24">
        <v>0.97559643932832496</v>
      </c>
    </row>
    <row r="142" spans="1:5" x14ac:dyDescent="0.4">
      <c r="A142" s="1">
        <v>43343</v>
      </c>
      <c r="B142" s="24">
        <v>1.04571904680545</v>
      </c>
      <c r="C142" s="24">
        <v>0.39150622110193201</v>
      </c>
      <c r="D142" s="24">
        <v>0.125781555727427</v>
      </c>
      <c r="E142" s="24">
        <v>0.91993749107802203</v>
      </c>
    </row>
    <row r="143" spans="1:5" x14ac:dyDescent="0.4">
      <c r="A143" s="1">
        <v>43373</v>
      </c>
      <c r="B143" s="24">
        <v>0.98841453078675301</v>
      </c>
      <c r="C143" s="24">
        <v>0.38047711578580901</v>
      </c>
      <c r="D143" s="24">
        <v>0.11954434768328601</v>
      </c>
      <c r="E143" s="24">
        <v>0.86887018310346598</v>
      </c>
    </row>
    <row r="144" spans="1:5" x14ac:dyDescent="0.4">
      <c r="A144" s="1">
        <v>43404</v>
      </c>
      <c r="B144" s="24">
        <v>0.94761128365734104</v>
      </c>
      <c r="C144" s="24">
        <v>0.36708344178440999</v>
      </c>
      <c r="D144" s="24">
        <v>0.11678385060044599</v>
      </c>
      <c r="E144" s="24">
        <v>0.83082743305689499</v>
      </c>
    </row>
    <row r="145" spans="1:5" x14ac:dyDescent="0.4">
      <c r="A145" s="1">
        <v>43434</v>
      </c>
      <c r="B145" s="24">
        <v>0.919197274559857</v>
      </c>
      <c r="C145" s="24">
        <v>0.35789027225103698</v>
      </c>
      <c r="D145" s="24">
        <v>0.114383298031911</v>
      </c>
      <c r="E145" s="24">
        <v>0.80481397652794495</v>
      </c>
    </row>
    <row r="146" spans="1:5" x14ac:dyDescent="0.4">
      <c r="A146" s="1">
        <v>43465</v>
      </c>
      <c r="B146" s="24">
        <v>0.88687091412284702</v>
      </c>
      <c r="C146" s="24">
        <v>0.34927029175853802</v>
      </c>
      <c r="D146" s="24">
        <v>0.111873017676295</v>
      </c>
      <c r="E146" s="24">
        <v>0.77499789644655304</v>
      </c>
    </row>
    <row r="147" spans="1:5" x14ac:dyDescent="0.4">
      <c r="A147" s="1">
        <v>43496</v>
      </c>
      <c r="B147" s="24">
        <v>0.86764856949226798</v>
      </c>
      <c r="C147" s="24">
        <v>0.34280039385976202</v>
      </c>
      <c r="D147" s="24">
        <v>0.10909626576367</v>
      </c>
      <c r="E147" s="24">
        <v>0.75855230372859805</v>
      </c>
    </row>
    <row r="148" spans="1:5" x14ac:dyDescent="0.4">
      <c r="A148" s="1">
        <v>43524</v>
      </c>
      <c r="B148" s="24">
        <v>0.83602971958087302</v>
      </c>
      <c r="C148" s="24">
        <v>0.32928376154233802</v>
      </c>
      <c r="D148" s="24">
        <v>0.105939825077217</v>
      </c>
      <c r="E148" s="24">
        <v>0.73008989450365702</v>
      </c>
    </row>
    <row r="149" spans="1:5" x14ac:dyDescent="0.4">
      <c r="A149" s="1">
        <v>43555</v>
      </c>
      <c r="B149" s="24">
        <v>0.79965914614574696</v>
      </c>
      <c r="C149" s="24">
        <v>0.32225465005186699</v>
      </c>
      <c r="D149" s="24">
        <v>0.101326600872805</v>
      </c>
      <c r="E149" s="24">
        <v>0.69833254527294197</v>
      </c>
    </row>
    <row r="150" spans="1:5" x14ac:dyDescent="0.4">
      <c r="A150" s="1">
        <v>43585</v>
      </c>
      <c r="B150" s="24">
        <v>0.81887733345346603</v>
      </c>
      <c r="C150" s="24">
        <v>0.31918451197605302</v>
      </c>
      <c r="D150" s="24">
        <v>0.10186020873151599</v>
      </c>
      <c r="E150" s="24">
        <v>0.71701712472195001</v>
      </c>
    </row>
    <row r="151" spans="1:5" x14ac:dyDescent="0.4">
      <c r="A151" s="1">
        <v>43616</v>
      </c>
      <c r="B151" s="24">
        <v>0.826443312548929</v>
      </c>
      <c r="C151" s="24">
        <v>0.31873103525667701</v>
      </c>
      <c r="D151" s="24">
        <v>0.102290009151738</v>
      </c>
      <c r="E151" s="24">
        <v>0.72415330339719097</v>
      </c>
    </row>
    <row r="152" spans="1:5" x14ac:dyDescent="0.4">
      <c r="A152" s="1">
        <v>43646</v>
      </c>
      <c r="B152" s="24">
        <v>0.84040998170932901</v>
      </c>
      <c r="C152" s="24">
        <v>0.31810793188132502</v>
      </c>
      <c r="D152" s="24">
        <v>0.10160601329690901</v>
      </c>
      <c r="E152" s="24">
        <v>0.73880396841242002</v>
      </c>
    </row>
    <row r="153" spans="1:5" x14ac:dyDescent="0.4">
      <c r="A153" s="1">
        <v>43677</v>
      </c>
      <c r="B153" s="24">
        <v>0.84055669616015605</v>
      </c>
      <c r="C153" s="24">
        <v>0.31829217551162903</v>
      </c>
      <c r="D153" s="24">
        <v>0.10050223015117001</v>
      </c>
      <c r="E153" s="24">
        <v>0.74005446600898495</v>
      </c>
    </row>
    <row r="154" spans="1:5" x14ac:dyDescent="0.4">
      <c r="A154" s="1">
        <v>43708</v>
      </c>
      <c r="B154" s="24">
        <v>0.86986403742007901</v>
      </c>
      <c r="C154" s="24">
        <v>0.32193169431192697</v>
      </c>
      <c r="D154" s="24">
        <v>0.101348687021619</v>
      </c>
      <c r="E154" s="24">
        <v>0.76851535039845997</v>
      </c>
    </row>
    <row r="155" spans="1:5" x14ac:dyDescent="0.4">
      <c r="A155" s="1">
        <v>43738</v>
      </c>
      <c r="B155" s="24">
        <v>0.89683610247826295</v>
      </c>
      <c r="C155" s="24">
        <v>0.32396828153913998</v>
      </c>
      <c r="D155" s="24">
        <v>0.100386630341223</v>
      </c>
      <c r="E155" s="24">
        <v>0.79644947213703998</v>
      </c>
    </row>
    <row r="156" spans="1:5" x14ac:dyDescent="0.4">
      <c r="A156" s="1">
        <v>43769</v>
      </c>
      <c r="B156" s="24">
        <v>0.91884973292887595</v>
      </c>
      <c r="C156" s="24">
        <v>0.32654899931835402</v>
      </c>
      <c r="D156" s="24">
        <v>9.6872580476343104E-2</v>
      </c>
      <c r="E156" s="24">
        <v>0.821977152452533</v>
      </c>
    </row>
    <row r="157" spans="1:5" x14ac:dyDescent="0.4">
      <c r="A157" s="1">
        <v>43799</v>
      </c>
      <c r="B157" s="24">
        <v>0.94023435652673903</v>
      </c>
      <c r="C157" s="24">
        <v>0.32800361739496497</v>
      </c>
      <c r="D157" s="24">
        <v>9.2668786804868702E-2</v>
      </c>
      <c r="E157" s="24">
        <v>0.84756556972187103</v>
      </c>
    </row>
    <row r="158" spans="1:5" x14ac:dyDescent="0.4">
      <c r="A158" s="1">
        <v>43830</v>
      </c>
      <c r="B158" s="24">
        <v>0.96459951239251795</v>
      </c>
      <c r="C158" s="24">
        <v>0.33410597760754102</v>
      </c>
      <c r="D158" s="24">
        <v>9.0639281314710607E-2</v>
      </c>
      <c r="E158" s="24">
        <v>0.87396023107780796</v>
      </c>
    </row>
    <row r="159" spans="1:5" x14ac:dyDescent="0.4">
      <c r="A159" s="1">
        <v>43861</v>
      </c>
      <c r="B159" s="24">
        <v>1.03676574985197</v>
      </c>
      <c r="C159" s="24">
        <v>0.36033913305854898</v>
      </c>
      <c r="D159" s="24">
        <v>9.9001961462122895E-2</v>
      </c>
      <c r="E159" s="24">
        <v>0.93776378838984997</v>
      </c>
    </row>
    <row r="160" spans="1:5" x14ac:dyDescent="0.4">
      <c r="A160" s="1">
        <v>43890</v>
      </c>
      <c r="B160" s="24">
        <v>1.0943568744780099</v>
      </c>
      <c r="C160" s="24">
        <v>0.38236488585185902</v>
      </c>
      <c r="D160" s="24">
        <v>0.107213497245694</v>
      </c>
      <c r="E160" s="24">
        <v>0.98714337723231205</v>
      </c>
    </row>
    <row r="161" spans="1:5" x14ac:dyDescent="0.4">
      <c r="A161" s="1">
        <v>43921</v>
      </c>
      <c r="B161" s="24">
        <v>1.15004139844632</v>
      </c>
      <c r="C161" s="24">
        <v>0.39371055197031402</v>
      </c>
      <c r="D161" s="24">
        <v>0.110259841981466</v>
      </c>
      <c r="E161" s="24">
        <v>1.03978155646485</v>
      </c>
    </row>
    <row r="162" spans="1:5" x14ac:dyDescent="0.4">
      <c r="A162" s="1">
        <v>43951</v>
      </c>
      <c r="B162" s="24">
        <v>1.18075735614776</v>
      </c>
      <c r="C162" s="24">
        <v>0.397661892518756</v>
      </c>
      <c r="D162" s="24">
        <v>0.107625960729595</v>
      </c>
      <c r="E162" s="24">
        <v>1.0731313954181601</v>
      </c>
    </row>
    <row r="163" spans="1:5" x14ac:dyDescent="0.4">
      <c r="A163" s="1">
        <v>43982</v>
      </c>
      <c r="B163" s="24">
        <v>1.21233816029373</v>
      </c>
      <c r="C163" s="24">
        <v>0.401091399875938</v>
      </c>
      <c r="D163" s="24">
        <v>0.106602307189751</v>
      </c>
      <c r="E163" s="24">
        <v>1.10573585310398</v>
      </c>
    </row>
    <row r="164" spans="1:5" x14ac:dyDescent="0.4">
      <c r="A164" s="1">
        <v>44012</v>
      </c>
      <c r="B164" s="24">
        <v>1.2368996112985</v>
      </c>
      <c r="C164" s="24">
        <v>0.40525670526361202</v>
      </c>
      <c r="D164" s="24">
        <v>0.107004637125929</v>
      </c>
      <c r="E164" s="24">
        <v>1.1298949741725699</v>
      </c>
    </row>
    <row r="165" spans="1:5" x14ac:dyDescent="0.4">
      <c r="A165" s="1">
        <v>44043</v>
      </c>
      <c r="B165" s="24">
        <v>1.2877282847389899</v>
      </c>
      <c r="C165" s="24">
        <v>0.41262721464395402</v>
      </c>
      <c r="D165" s="24">
        <v>0.109804979915495</v>
      </c>
      <c r="E165" s="24">
        <v>1.1779233048234901</v>
      </c>
    </row>
    <row r="166" spans="1:5" x14ac:dyDescent="0.4">
      <c r="A166" s="1">
        <v>44074</v>
      </c>
      <c r="B166" s="24">
        <v>1.3277669082752399</v>
      </c>
      <c r="C166" s="24">
        <v>0.41945235080361698</v>
      </c>
      <c r="D166" s="24">
        <v>0.111690538877299</v>
      </c>
      <c r="E166" s="24">
        <v>1.2160763693979399</v>
      </c>
    </row>
    <row r="167" spans="1:5" x14ac:dyDescent="0.4">
      <c r="A167" s="1">
        <v>44104</v>
      </c>
      <c r="B167" s="24">
        <v>1.3823403471799101</v>
      </c>
      <c r="C167" s="24">
        <v>0.42925506197554802</v>
      </c>
      <c r="D167" s="24">
        <v>0.116668710215471</v>
      </c>
      <c r="E167" s="24">
        <v>1.2656716369644401</v>
      </c>
    </row>
    <row r="168" spans="1:5" x14ac:dyDescent="0.4">
      <c r="A168" s="1">
        <v>44135</v>
      </c>
      <c r="B168" s="24">
        <v>1.42506733892601</v>
      </c>
      <c r="C168" s="24">
        <v>0.438612283675268</v>
      </c>
      <c r="D168" s="24">
        <v>0.12168895731471301</v>
      </c>
      <c r="E168" s="24">
        <v>1.3033783816113</v>
      </c>
    </row>
    <row r="169" spans="1:5" x14ac:dyDescent="0.4">
      <c r="A169" s="1">
        <v>44165</v>
      </c>
      <c r="B169" s="24">
        <v>1.4548248078266099</v>
      </c>
      <c r="C169" s="24">
        <v>0.44822019674929497</v>
      </c>
      <c r="D169" s="24">
        <v>0.12898657172948</v>
      </c>
      <c r="E169" s="24">
        <v>1.3258382360971299</v>
      </c>
    </row>
    <row r="170" spans="1:5" x14ac:dyDescent="0.4">
      <c r="A170" s="1">
        <v>44196</v>
      </c>
      <c r="B170" s="24">
        <v>1.50055799051438</v>
      </c>
      <c r="C170" s="24">
        <v>0.45736655025497802</v>
      </c>
      <c r="D170" s="24">
        <v>0.13414928593639899</v>
      </c>
      <c r="E170" s="24">
        <v>1.36640870457798</v>
      </c>
    </row>
    <row r="171" spans="1:5" x14ac:dyDescent="0.4">
      <c r="A171" s="1">
        <v>44227</v>
      </c>
      <c r="B171" s="24">
        <v>1.5287160218928599</v>
      </c>
      <c r="C171" s="24">
        <v>0.46850129678865798</v>
      </c>
      <c r="D171" s="24">
        <v>0.14116925501957001</v>
      </c>
      <c r="E171" s="24">
        <v>1.3875467668732899</v>
      </c>
    </row>
    <row r="172" spans="1:5" x14ac:dyDescent="0.4">
      <c r="A172" s="1">
        <v>44255</v>
      </c>
      <c r="B172" s="24">
        <v>1.5646320432806999</v>
      </c>
      <c r="C172" s="24">
        <v>0.480305752639547</v>
      </c>
      <c r="D172" s="24">
        <v>0.14896788373446099</v>
      </c>
      <c r="E172" s="24">
        <v>1.41566415954624</v>
      </c>
    </row>
    <row r="173" spans="1:5" x14ac:dyDescent="0.4">
      <c r="A173" s="1">
        <v>44286</v>
      </c>
      <c r="B173" s="24">
        <v>1.5953474288352301</v>
      </c>
      <c r="C173" s="24">
        <v>0.490730303372161</v>
      </c>
      <c r="D173" s="24">
        <v>0.157427048110927</v>
      </c>
      <c r="E173" s="24">
        <v>1.4379203807243099</v>
      </c>
    </row>
    <row r="174" spans="1:5" x14ac:dyDescent="0.4">
      <c r="A174" s="1">
        <v>44316</v>
      </c>
      <c r="B174" s="24">
        <v>1.5521607608102099</v>
      </c>
      <c r="C174" s="24">
        <v>0.48870123878865102</v>
      </c>
      <c r="D174" s="24">
        <v>0.16112092847099399</v>
      </c>
      <c r="E174" s="24">
        <v>1.3910398323392099</v>
      </c>
    </row>
    <row r="175" spans="1:5" x14ac:dyDescent="0.4">
      <c r="A175" s="1">
        <v>44347</v>
      </c>
      <c r="B175" s="24">
        <v>1.5079936634915001</v>
      </c>
      <c r="C175" s="24">
        <v>0.48253355957434302</v>
      </c>
      <c r="D175" s="24">
        <v>0.1616249900532</v>
      </c>
      <c r="E175" s="24">
        <v>1.3463686734383</v>
      </c>
    </row>
    <row r="176" spans="1:5" x14ac:dyDescent="0.4">
      <c r="A176" s="1">
        <v>44377</v>
      </c>
      <c r="B176" s="24">
        <v>1.4681326547029401</v>
      </c>
      <c r="C176" s="24">
        <v>0.476786389793528</v>
      </c>
      <c r="D176" s="24">
        <v>0.16308740375017999</v>
      </c>
      <c r="E176" s="24">
        <v>1.3050452509527599</v>
      </c>
    </row>
    <row r="177" spans="1:5" x14ac:dyDescent="0.4">
      <c r="A177" s="1">
        <v>44408</v>
      </c>
      <c r="B177" s="24">
        <v>1.4274274440302901</v>
      </c>
      <c r="C177" s="24">
        <v>0.47000588524991299</v>
      </c>
      <c r="D177" s="24">
        <v>0.164599875476619</v>
      </c>
      <c r="E177" s="24">
        <v>1.2628275685536701</v>
      </c>
    </row>
    <row r="178" spans="1:5" x14ac:dyDescent="0.4">
      <c r="A178" s="1">
        <v>44439</v>
      </c>
      <c r="B178" s="24">
        <v>1.3908963985166001</v>
      </c>
      <c r="C178" s="24">
        <v>0.46194861753371602</v>
      </c>
      <c r="D178" s="24">
        <v>0.16297086200841099</v>
      </c>
      <c r="E178" s="24">
        <v>1.22792553650819</v>
      </c>
    </row>
    <row r="179" spans="1:5" x14ac:dyDescent="0.4">
      <c r="A179" s="1">
        <v>44469</v>
      </c>
      <c r="B179" s="24">
        <v>1.3331107373092601</v>
      </c>
      <c r="C179" s="24">
        <v>0.45407027731612598</v>
      </c>
      <c r="D179" s="24">
        <v>0.160537768873493</v>
      </c>
      <c r="E179" s="24">
        <v>1.17257296843577</v>
      </c>
    </row>
    <row r="180" spans="1:5" x14ac:dyDescent="0.4">
      <c r="A180" s="1">
        <v>44500</v>
      </c>
      <c r="B180" s="24">
        <v>1.3058474767920301</v>
      </c>
      <c r="C180" s="24">
        <v>0.450627544782497</v>
      </c>
      <c r="D180" s="24">
        <v>0.161698014861658</v>
      </c>
      <c r="E180" s="24">
        <v>1.14414946193038</v>
      </c>
    </row>
    <row r="181" spans="1:5" x14ac:dyDescent="0.4">
      <c r="A181" s="1">
        <v>44530</v>
      </c>
      <c r="B181" s="24">
        <v>1.2896168270394499</v>
      </c>
      <c r="C181" s="24">
        <v>0.44776352218718901</v>
      </c>
      <c r="D181" s="24">
        <v>0.16032158309057601</v>
      </c>
      <c r="E181" s="24">
        <v>1.1292952439488699</v>
      </c>
    </row>
    <row r="182" spans="1:5" x14ac:dyDescent="0.4">
      <c r="A182" s="1">
        <v>44561</v>
      </c>
      <c r="B182" s="24">
        <v>1.26225381674596</v>
      </c>
      <c r="C182" s="24">
        <v>0.441578356108625</v>
      </c>
      <c r="D182" s="24">
        <v>0.159116818787671</v>
      </c>
      <c r="E182" s="24">
        <v>1.1031369979582899</v>
      </c>
    </row>
    <row r="183" spans="1:5" x14ac:dyDescent="0.4">
      <c r="A183" s="1">
        <v>44592</v>
      </c>
      <c r="B183" s="24">
        <v>1.2417475578535</v>
      </c>
      <c r="C183" s="24">
        <v>0.43325199122230101</v>
      </c>
      <c r="D183" s="24">
        <v>0.158765303326978</v>
      </c>
      <c r="E183" s="24">
        <v>1.08298225452652</v>
      </c>
    </row>
    <row r="184" spans="1:5" x14ac:dyDescent="0.4">
      <c r="A184" s="1">
        <v>44620</v>
      </c>
      <c r="B184" s="24">
        <v>1.2142587734364301</v>
      </c>
      <c r="C184" s="24">
        <v>0.42551498315221498</v>
      </c>
      <c r="D184" s="24">
        <v>0.155379504897977</v>
      </c>
      <c r="E184" s="24">
        <v>1.05887926853845</v>
      </c>
    </row>
    <row r="185" spans="1:5" x14ac:dyDescent="0.4">
      <c r="A185" s="1">
        <v>44651</v>
      </c>
      <c r="B185" s="24">
        <v>1.18716402457801</v>
      </c>
      <c r="C185" s="24">
        <v>0.41900221504879498</v>
      </c>
      <c r="D185" s="24">
        <v>0.15256544108227399</v>
      </c>
      <c r="E185" s="24">
        <v>1.0345985834957301</v>
      </c>
    </row>
    <row r="186" spans="1:5" x14ac:dyDescent="0.4">
      <c r="A186" s="1">
        <v>44681</v>
      </c>
      <c r="B186" s="24">
        <v>1.22330900847423</v>
      </c>
      <c r="C186" s="24">
        <v>0.42391814654375298</v>
      </c>
      <c r="D186" s="24">
        <v>0.154238702102897</v>
      </c>
      <c r="E186" s="24">
        <v>1.06907030637134</v>
      </c>
    </row>
    <row r="187" spans="1:5" x14ac:dyDescent="0.4">
      <c r="A187" s="1">
        <v>44712</v>
      </c>
      <c r="B187" s="24">
        <v>1.2788597494681899</v>
      </c>
      <c r="C187" s="24">
        <v>0.432908422990395</v>
      </c>
      <c r="D187" s="24">
        <v>0.15691944430273999</v>
      </c>
      <c r="E187" s="24">
        <v>1.12194030516545</v>
      </c>
    </row>
    <row r="188" spans="1:5" x14ac:dyDescent="0.4">
      <c r="A188" s="1">
        <v>44742</v>
      </c>
      <c r="B188" s="24">
        <v>1.3414670998664699</v>
      </c>
      <c r="C188" s="24">
        <v>0.44231230105059599</v>
      </c>
      <c r="D188" s="24">
        <v>0.15762062205296101</v>
      </c>
      <c r="E188" s="24">
        <v>1.18384647781351</v>
      </c>
    </row>
    <row r="189" spans="1:5" x14ac:dyDescent="0.4">
      <c r="A189" s="1">
        <v>44773</v>
      </c>
      <c r="B189" s="24">
        <v>1.39352535680878</v>
      </c>
      <c r="C189" s="24">
        <v>0.448435286292728</v>
      </c>
      <c r="D189" s="24">
        <v>0.15727344412885999</v>
      </c>
      <c r="E189" s="24">
        <v>1.2362519126799201</v>
      </c>
    </row>
    <row r="190" spans="1:5" x14ac:dyDescent="0.4">
      <c r="A190" s="1">
        <v>44804</v>
      </c>
      <c r="B190" s="24">
        <v>1.4644119829090101</v>
      </c>
      <c r="C190" s="24">
        <v>0.45824712409207802</v>
      </c>
      <c r="D190" s="24">
        <v>0.16165945774534701</v>
      </c>
      <c r="E190" s="24">
        <v>1.30275252516367</v>
      </c>
    </row>
    <row r="191" spans="1:5" x14ac:dyDescent="0.4">
      <c r="A191" s="1">
        <v>44834</v>
      </c>
      <c r="B191" s="24">
        <v>1.5556965755861001</v>
      </c>
      <c r="C191" s="24">
        <v>0.46748511285484801</v>
      </c>
      <c r="D191" s="24">
        <v>0.16568527509414899</v>
      </c>
      <c r="E191" s="24">
        <v>1.3900113004919501</v>
      </c>
    </row>
    <row r="192" spans="1:5" x14ac:dyDescent="0.4">
      <c r="A192" s="1">
        <v>44865</v>
      </c>
      <c r="B192" s="24">
        <v>1.64807196183523</v>
      </c>
      <c r="C192" s="24">
        <v>0.47498641801292502</v>
      </c>
      <c r="D192" s="24">
        <v>0.166848254252707</v>
      </c>
      <c r="E192" s="24">
        <v>1.4812237075825301</v>
      </c>
    </row>
    <row r="193" spans="1:5" x14ac:dyDescent="0.4">
      <c r="A193" s="1">
        <v>44895</v>
      </c>
      <c r="B193" s="24">
        <v>1.7546200998552499</v>
      </c>
      <c r="C193" s="24">
        <v>0.48186951350032398</v>
      </c>
      <c r="D193" s="24">
        <v>0.16928598498873501</v>
      </c>
      <c r="E193" s="24">
        <v>1.5853341148665101</v>
      </c>
    </row>
    <row r="194" spans="1:5" x14ac:dyDescent="0.4">
      <c r="A194" s="1">
        <v>44926</v>
      </c>
      <c r="B194" s="24">
        <v>1.8726548648508501</v>
      </c>
      <c r="C194" s="24">
        <v>0.48871483339717198</v>
      </c>
      <c r="D194" s="24">
        <v>0.17140776580754</v>
      </c>
      <c r="E194" s="24">
        <v>1.70124709904331</v>
      </c>
    </row>
    <row r="195" spans="1:5" x14ac:dyDescent="0.4">
      <c r="A195" s="1">
        <v>44957</v>
      </c>
      <c r="B195" s="24">
        <v>1.9867790868070401</v>
      </c>
      <c r="C195" s="24">
        <v>0.49557122810954102</v>
      </c>
      <c r="D195" s="24">
        <v>0.17234523363277099</v>
      </c>
      <c r="E195" s="24">
        <v>1.8144338531742701</v>
      </c>
    </row>
    <row r="196" spans="1:5" x14ac:dyDescent="0.4">
      <c r="A196" s="1">
        <v>44985</v>
      </c>
      <c r="B196" s="24">
        <v>2.0908640349900698</v>
      </c>
      <c r="C196" s="24">
        <v>0.49939657102673601</v>
      </c>
      <c r="D196" s="24">
        <v>0.17477839064408901</v>
      </c>
      <c r="E196" s="24">
        <v>1.9160856443459799</v>
      </c>
    </row>
    <row r="197" spans="1:5" x14ac:dyDescent="0.4">
      <c r="A197" s="1">
        <v>45016</v>
      </c>
      <c r="B197" s="24">
        <v>2.1450002743918199</v>
      </c>
      <c r="C197" s="24">
        <v>0.50740385029752</v>
      </c>
      <c r="D197" s="24">
        <v>0.17897274329310001</v>
      </c>
      <c r="E197" s="24">
        <v>1.9660275310987201</v>
      </c>
    </row>
    <row r="198" spans="1:5" x14ac:dyDescent="0.4">
      <c r="A198" s="1">
        <v>45046</v>
      </c>
      <c r="B198" s="24">
        <v>2.2201859444503702</v>
      </c>
      <c r="C198" s="24">
        <v>0.51475955409750596</v>
      </c>
      <c r="D198" s="24">
        <v>0.182380811198153</v>
      </c>
      <c r="E198" s="24">
        <v>2.03780513325222</v>
      </c>
    </row>
    <row r="199" spans="1:5" x14ac:dyDescent="0.4">
      <c r="A199" s="1">
        <v>45077</v>
      </c>
      <c r="B199" s="24">
        <v>2.2943125834241802</v>
      </c>
      <c r="C199" s="24">
        <v>0.52284429040369695</v>
      </c>
      <c r="D199" s="24">
        <v>0.185169206295839</v>
      </c>
      <c r="E199" s="24">
        <v>2.1091433771283499</v>
      </c>
    </row>
    <row r="200" spans="1:5" x14ac:dyDescent="0.4">
      <c r="A200" s="1">
        <v>45107</v>
      </c>
      <c r="B200" s="24">
        <v>2.36140773347037</v>
      </c>
      <c r="C200" s="24">
        <v>0.53023908259691999</v>
      </c>
      <c r="D200" s="24">
        <v>0.18830007470486701</v>
      </c>
      <c r="E200" s="24">
        <v>2.1731076587654998</v>
      </c>
    </row>
    <row r="201" spans="1:5" x14ac:dyDescent="0.4">
      <c r="A201" s="1">
        <v>45138</v>
      </c>
      <c r="B201" s="24">
        <v>2.41107298866608</v>
      </c>
      <c r="C201" s="24">
        <v>0.53956379363659601</v>
      </c>
      <c r="D201" s="24">
        <v>0.19102601407382999</v>
      </c>
      <c r="E201" s="24">
        <v>2.22004697459225</v>
      </c>
    </row>
    <row r="202" spans="1:5" x14ac:dyDescent="0.4">
      <c r="A202" s="1">
        <v>45169</v>
      </c>
      <c r="B202" s="24">
        <v>2.4311551417891502</v>
      </c>
      <c r="C202" s="24">
        <v>0.54520255183926503</v>
      </c>
      <c r="D202" s="24">
        <v>0.19279285693145001</v>
      </c>
      <c r="E202" s="24">
        <v>2.2383622848577001</v>
      </c>
    </row>
    <row r="203" spans="1:5" x14ac:dyDescent="0.4">
      <c r="A203" s="1">
        <v>45199</v>
      </c>
      <c r="B203" s="24">
        <v>2.4237297066907102</v>
      </c>
      <c r="C203" s="24">
        <v>0.55071859622742803</v>
      </c>
      <c r="D203" s="24">
        <v>0.193971786244755</v>
      </c>
      <c r="E203" s="24">
        <v>2.2297579204459499</v>
      </c>
    </row>
    <row r="204" spans="1:5" x14ac:dyDescent="0.4">
      <c r="A204" s="1">
        <v>45230</v>
      </c>
      <c r="B204" s="24">
        <v>2.4060302541116001</v>
      </c>
      <c r="C204" s="24">
        <v>0.55508962041866905</v>
      </c>
      <c r="D204" s="24">
        <v>0.19665139408861601</v>
      </c>
      <c r="E204" s="24">
        <v>2.2093788600229902</v>
      </c>
    </row>
    <row r="205" spans="1:5" x14ac:dyDescent="0.4">
      <c r="A205" s="1">
        <v>45260</v>
      </c>
      <c r="B205" s="24">
        <v>2.3527339064236901</v>
      </c>
      <c r="C205" s="24">
        <v>0.55546250903030003</v>
      </c>
      <c r="D205" s="24">
        <v>0.19494392697763999</v>
      </c>
      <c r="E205" s="24">
        <v>2.1577899794460502</v>
      </c>
    </row>
    <row r="206" spans="1:5" x14ac:dyDescent="0.4">
      <c r="A206" s="1">
        <v>45291</v>
      </c>
      <c r="B206" s="24">
        <v>2.29433013704497</v>
      </c>
      <c r="C206" s="24">
        <v>0.55859178691467604</v>
      </c>
      <c r="D206" s="24">
        <v>0.194936328462289</v>
      </c>
      <c r="E206" s="24">
        <v>2.09939380858268</v>
      </c>
    </row>
    <row r="207" spans="1:5" x14ac:dyDescent="0.4">
      <c r="A207" s="1">
        <v>45322</v>
      </c>
      <c r="B207" s="24">
        <v>2.2344453671003701</v>
      </c>
      <c r="C207" s="24">
        <v>0.55978524399662699</v>
      </c>
      <c r="D207" s="24">
        <v>0.19342840505044401</v>
      </c>
      <c r="E207" s="24">
        <v>2.0410169620499299</v>
      </c>
    </row>
    <row r="208" spans="1:5" x14ac:dyDescent="0.4">
      <c r="A208" s="1">
        <v>45351</v>
      </c>
      <c r="B208" s="24">
        <v>2.18587393450587</v>
      </c>
      <c r="C208" s="24">
        <v>0.56206542741946297</v>
      </c>
      <c r="D208" s="24">
        <v>0.19172876593806101</v>
      </c>
      <c r="E208" s="24">
        <v>1.9941451685678</v>
      </c>
    </row>
    <row r="209" spans="1:5" x14ac:dyDescent="0.4">
      <c r="A209" s="1">
        <v>45382</v>
      </c>
      <c r="B209" s="24">
        <v>2.1785969546032802</v>
      </c>
      <c r="C209" s="24">
        <v>0.55611056625520405</v>
      </c>
      <c r="D209" s="24">
        <v>0.18844464479520401</v>
      </c>
      <c r="E209" s="24">
        <v>1.99015230980808</v>
      </c>
    </row>
    <row r="210" spans="1:5" x14ac:dyDescent="0.4">
      <c r="A210" s="1">
        <v>45412</v>
      </c>
      <c r="B210" s="24">
        <v>2.14072165743401</v>
      </c>
      <c r="C210" s="24">
        <v>0.54659964949332795</v>
      </c>
      <c r="D210" s="24">
        <v>0.18527276115941699</v>
      </c>
      <c r="E210" s="24">
        <v>1.95544889627459</v>
      </c>
    </row>
    <row r="211" spans="1:5" x14ac:dyDescent="0.4">
      <c r="A211" s="1">
        <v>45443</v>
      </c>
      <c r="B211" s="24">
        <v>2.07655715926041</v>
      </c>
      <c r="C211" s="24">
        <v>0.53591318707648705</v>
      </c>
      <c r="D211" s="24">
        <v>0.18186112936682</v>
      </c>
      <c r="E211" s="24">
        <v>1.89469602989359</v>
      </c>
    </row>
    <row r="212" spans="1:5" x14ac:dyDescent="0.4">
      <c r="A212" s="1">
        <v>45473</v>
      </c>
      <c r="B212" s="24">
        <v>2.0083691422372301</v>
      </c>
      <c r="C212" s="24">
        <v>0.52497944817194497</v>
      </c>
      <c r="D212" s="24">
        <v>0.179372909968948</v>
      </c>
      <c r="E212" s="24">
        <v>1.82899623226829</v>
      </c>
    </row>
    <row r="213" spans="1:5" x14ac:dyDescent="0.4">
      <c r="A213" s="1">
        <v>45504</v>
      </c>
      <c r="B213" s="24">
        <v>1.96372292217712</v>
      </c>
      <c r="C213" s="24">
        <v>0.51426368458830096</v>
      </c>
      <c r="D213" s="24">
        <v>0.177383485677019</v>
      </c>
      <c r="E213" s="24">
        <v>1.7863394365001</v>
      </c>
    </row>
    <row r="214" spans="1:5" x14ac:dyDescent="0.4">
      <c r="A214" s="1">
        <v>45535</v>
      </c>
      <c r="B214" s="24">
        <v>1.93869851262588</v>
      </c>
      <c r="C214" s="24">
        <v>0.50434250889957399</v>
      </c>
      <c r="D214" s="24">
        <v>0.17201108004084201</v>
      </c>
      <c r="E214" s="24">
        <v>1.7666874325850299</v>
      </c>
    </row>
    <row r="215" spans="1:5" x14ac:dyDescent="0.4">
      <c r="A215" s="1">
        <v>45565</v>
      </c>
      <c r="B215" s="24">
        <v>1.91174614853943</v>
      </c>
      <c r="C215" s="24">
        <v>0.49314309524021399</v>
      </c>
      <c r="D215" s="24">
        <v>0.16520531243564501</v>
      </c>
      <c r="E215" s="24">
        <v>1.74654083610379</v>
      </c>
    </row>
    <row r="216" spans="1:5" x14ac:dyDescent="0.4">
      <c r="A216" s="1">
        <v>45596</v>
      </c>
      <c r="B216" s="24">
        <v>1.92577452920351</v>
      </c>
      <c r="C216" s="24">
        <v>0.48431021404610702</v>
      </c>
      <c r="D216" s="24">
        <v>0.158535111763628</v>
      </c>
      <c r="E216" s="24">
        <v>1.76723941743988</v>
      </c>
    </row>
    <row r="217" spans="1:5" x14ac:dyDescent="0.4">
      <c r="A217" s="1">
        <v>45626</v>
      </c>
      <c r="B217" s="24">
        <v>1.92754209918646</v>
      </c>
      <c r="C217" s="24">
        <v>0.477869300720273</v>
      </c>
      <c r="D217" s="24">
        <v>0.15580242447235801</v>
      </c>
      <c r="E217" s="24">
        <v>1.7717396747141001</v>
      </c>
    </row>
    <row r="218" spans="1:5" x14ac:dyDescent="0.4">
      <c r="A218" s="1">
        <v>45657</v>
      </c>
      <c r="B218" s="24">
        <v>1.9239182339513801</v>
      </c>
      <c r="C218" s="24">
        <v>0.46833801274749298</v>
      </c>
      <c r="D218" s="24">
        <v>0.15101511940086601</v>
      </c>
      <c r="E218" s="24">
        <v>1.7729031145505101</v>
      </c>
    </row>
    <row r="219" spans="1:5" x14ac:dyDescent="0.4">
      <c r="A219" s="1">
        <v>45688</v>
      </c>
      <c r="B219" s="24">
        <v>1.93668283926914</v>
      </c>
      <c r="C219" s="24">
        <v>0.46126397481914999</v>
      </c>
      <c r="D219" s="24">
        <v>0.147209132505766</v>
      </c>
      <c r="E219" s="24">
        <v>1.7894737067633699</v>
      </c>
    </row>
    <row r="220" spans="1:5" x14ac:dyDescent="0.4">
      <c r="A220" s="1">
        <v>45716</v>
      </c>
      <c r="B220" s="24">
        <v>1.9269303138035201</v>
      </c>
      <c r="C220" s="24">
        <v>0.45096420643968399</v>
      </c>
      <c r="D220" s="24">
        <v>0.143474529431871</v>
      </c>
      <c r="E220" s="24">
        <v>1.7834557843716401</v>
      </c>
    </row>
    <row r="221" spans="1:5" x14ac:dyDescent="0.4">
      <c r="A221" s="1">
        <v>45747</v>
      </c>
      <c r="B221" s="24">
        <v>1.9257282587592199</v>
      </c>
      <c r="C221" s="24">
        <v>0.44768839551087902</v>
      </c>
      <c r="D221" s="24">
        <v>0.13818005042372</v>
      </c>
      <c r="E221" s="24">
        <v>1.7875482083355001</v>
      </c>
    </row>
    <row r="222" spans="1:5" x14ac:dyDescent="0.4">
      <c r="A222" s="1">
        <v>45777</v>
      </c>
      <c r="B222" s="24">
        <v>1.9333512885889601</v>
      </c>
      <c r="C222" s="24">
        <v>0.44797630288573698</v>
      </c>
      <c r="D222" s="24">
        <v>0.134295982761032</v>
      </c>
      <c r="E222" s="24">
        <v>1.7990553058279299</v>
      </c>
    </row>
    <row r="223" spans="1:5" x14ac:dyDescent="0.4">
      <c r="A223" s="1">
        <v>45808</v>
      </c>
      <c r="B223" s="24">
        <v>1.9974313047586101</v>
      </c>
      <c r="C223" s="24">
        <v>0.44668436278607399</v>
      </c>
      <c r="D223" s="24">
        <v>0.13031538848857499</v>
      </c>
      <c r="E223" s="24">
        <v>1.8671159162700299</v>
      </c>
    </row>
    <row r="224" spans="1:5" x14ac:dyDescent="0.4">
      <c r="A224" s="1">
        <v>45838</v>
      </c>
      <c r="B224" s="24">
        <v>2.0435343276095801</v>
      </c>
      <c r="C224" s="24">
        <v>0.445096670879427</v>
      </c>
      <c r="D224" s="24">
        <v>0.125011260326196</v>
      </c>
      <c r="E224" s="24">
        <v>1.91852306728338</v>
      </c>
    </row>
    <row r="225" spans="1:5" x14ac:dyDescent="0.4">
      <c r="A225" s="1">
        <v>45869</v>
      </c>
      <c r="B225" s="24">
        <v>2.0889714713263299</v>
      </c>
      <c r="C225" s="24">
        <v>0.4419835463299</v>
      </c>
      <c r="D225" s="24">
        <v>0.120031074915597</v>
      </c>
      <c r="E225" s="24">
        <v>1.9689403964107399</v>
      </c>
    </row>
    <row r="226" spans="1:5" x14ac:dyDescent="0.4">
      <c r="A226" s="1">
        <v>45900</v>
      </c>
      <c r="B226" s="24">
        <v>2.1527596036926502</v>
      </c>
      <c r="C226" s="24">
        <v>0.442118763940892</v>
      </c>
      <c r="D226" s="24">
        <v>0.118427545754119</v>
      </c>
      <c r="E226" s="24">
        <v>2.03433205793853</v>
      </c>
    </row>
    <row r="227" spans="1:5" x14ac:dyDescent="0.4">
      <c r="A227" s="1">
        <v>45930</v>
      </c>
      <c r="B227" s="24">
        <v>2.2015491176605502</v>
      </c>
      <c r="C227" s="24">
        <v>0.44567886356060499</v>
      </c>
      <c r="D227" s="24">
        <v>0.118819711699219</v>
      </c>
      <c r="E227" s="24">
        <v>2.0827294059613299</v>
      </c>
    </row>
    <row r="228" spans="1:5" x14ac:dyDescent="0.4">
      <c r="A228" s="1">
        <v>45961</v>
      </c>
      <c r="B228" s="24">
        <v>2.2310943997938701</v>
      </c>
      <c r="C228" s="24">
        <v>0.44486885046451302</v>
      </c>
      <c r="D228" s="24">
        <v>0.119055139667744</v>
      </c>
      <c r="E228" s="24">
        <v>2.11203926012612</v>
      </c>
    </row>
    <row r="229" spans="1:5" x14ac:dyDescent="0.4">
      <c r="A229" s="1">
        <v>45991</v>
      </c>
      <c r="B229" s="24">
        <v>2.2779894930405198</v>
      </c>
      <c r="C229" s="24">
        <v>0.44600004464522403</v>
      </c>
      <c r="D229" s="24">
        <v>0.119232977414799</v>
      </c>
      <c r="E229" s="24">
        <v>2.1587565156257198</v>
      </c>
    </row>
    <row r="230" spans="1:5" x14ac:dyDescent="0.4">
      <c r="A230" s="1">
        <v>46022</v>
      </c>
      <c r="B230" s="24">
        <v>2.3236381737807501</v>
      </c>
      <c r="C230" s="24">
        <v>0.44821169521745702</v>
      </c>
      <c r="D230" s="24">
        <v>0.119266107790756</v>
      </c>
      <c r="E230" s="24">
        <v>2.2043720659899901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0"/>
  <sheetViews>
    <sheetView workbookViewId="0">
      <selection activeCell="C24" sqref="C24:C230"/>
    </sheetView>
  </sheetViews>
  <sheetFormatPr defaultRowHeight="13.9" x14ac:dyDescent="0.4"/>
  <cols>
    <col min="1" max="1" width="10.46484375" bestFit="1" customWidth="1"/>
  </cols>
  <sheetData>
    <row r="1" spans="1:5" x14ac:dyDescent="0.4">
      <c r="B1" s="2" t="s">
        <v>14</v>
      </c>
      <c r="C1" s="2" t="s">
        <v>13</v>
      </c>
      <c r="D1" s="2" t="s">
        <v>15</v>
      </c>
      <c r="E1" s="2" t="s">
        <v>16</v>
      </c>
    </row>
    <row r="2" spans="1:5" x14ac:dyDescent="0.4">
      <c r="A2" s="1">
        <v>39082</v>
      </c>
      <c r="B2" s="24">
        <v>0.78359796996420805</v>
      </c>
      <c r="C2" s="24">
        <v>-1.3335292189310399E-2</v>
      </c>
      <c r="D2" s="24">
        <v>-1.3904882604611599</v>
      </c>
      <c r="E2" s="24">
        <v>2.1740862304253699</v>
      </c>
    </row>
    <row r="3" spans="1:5" x14ac:dyDescent="0.4">
      <c r="A3" s="1">
        <v>39113</v>
      </c>
      <c r="B3" s="24">
        <v>0.78359796996420805</v>
      </c>
      <c r="C3" s="24">
        <v>-1.3335292189310399E-2</v>
      </c>
      <c r="D3" s="24">
        <v>-1.3904882604611599</v>
      </c>
      <c r="E3" s="24">
        <v>2.1740862304253699</v>
      </c>
    </row>
    <row r="4" spans="1:5" x14ac:dyDescent="0.4">
      <c r="A4" s="1">
        <v>39141</v>
      </c>
      <c r="B4" s="24">
        <v>0.78359796996420805</v>
      </c>
      <c r="C4" s="24">
        <v>-1.3335292189310399E-2</v>
      </c>
      <c r="D4" s="24">
        <v>-1.3904882604611599</v>
      </c>
      <c r="E4" s="24">
        <v>2.1740862304253699</v>
      </c>
    </row>
    <row r="5" spans="1:5" x14ac:dyDescent="0.4">
      <c r="A5" s="1">
        <v>39172</v>
      </c>
      <c r="B5" s="24">
        <v>0.74905474009378303</v>
      </c>
      <c r="C5" s="24">
        <v>-8.3089366692988501E-3</v>
      </c>
      <c r="D5" s="24">
        <v>-1.63539183030463</v>
      </c>
      <c r="E5" s="24">
        <v>2.3844465703984201</v>
      </c>
    </row>
    <row r="6" spans="1:5" x14ac:dyDescent="0.4">
      <c r="A6" s="1">
        <v>39202</v>
      </c>
      <c r="B6" s="24">
        <v>1.77726374078501</v>
      </c>
      <c r="C6" s="24">
        <v>0.199949983220085</v>
      </c>
      <c r="D6" s="24">
        <v>-1.33629965297334</v>
      </c>
      <c r="E6" s="24">
        <v>3.11356339375835</v>
      </c>
    </row>
    <row r="7" spans="1:5" x14ac:dyDescent="0.4">
      <c r="A7" s="1">
        <v>39233</v>
      </c>
      <c r="B7" s="24">
        <v>2.67823004598434</v>
      </c>
      <c r="C7" s="24">
        <v>0.43824651897719102</v>
      </c>
      <c r="D7" s="24">
        <v>-0.93293879768112697</v>
      </c>
      <c r="E7" s="24">
        <v>3.6111688436654701</v>
      </c>
    </row>
    <row r="8" spans="1:5" x14ac:dyDescent="0.4">
      <c r="A8" s="1">
        <v>39263</v>
      </c>
      <c r="B8" s="24">
        <v>3.6296872251199699</v>
      </c>
      <c r="C8" s="24">
        <v>0.67413427165023099</v>
      </c>
      <c r="D8" s="24">
        <v>-0.30711324996429901</v>
      </c>
      <c r="E8" s="24">
        <v>3.93680047508427</v>
      </c>
    </row>
    <row r="9" spans="1:5" x14ac:dyDescent="0.4">
      <c r="A9" s="1">
        <v>39294</v>
      </c>
      <c r="B9" s="24">
        <v>3.6763461883266801</v>
      </c>
      <c r="C9" s="24">
        <v>0.72377427184857202</v>
      </c>
      <c r="D9" s="24">
        <v>-0.21774714994241401</v>
      </c>
      <c r="E9" s="24">
        <v>3.8940933382690899</v>
      </c>
    </row>
    <row r="10" spans="1:5" x14ac:dyDescent="0.4">
      <c r="A10" s="1">
        <v>39325</v>
      </c>
      <c r="B10" s="24">
        <v>3.8625817594019298</v>
      </c>
      <c r="C10" s="24">
        <v>0.81691370572826705</v>
      </c>
      <c r="D10" s="24">
        <v>-0.21151878217433501</v>
      </c>
      <c r="E10" s="24">
        <v>4.0741005415762599</v>
      </c>
    </row>
    <row r="11" spans="1:5" x14ac:dyDescent="0.4">
      <c r="A11" s="1">
        <v>39355</v>
      </c>
      <c r="B11" s="24">
        <v>4.2710073071975199</v>
      </c>
      <c r="C11" s="24">
        <v>0.93687545442390896</v>
      </c>
      <c r="D11" s="24">
        <v>-0.20259383686155599</v>
      </c>
      <c r="E11" s="24">
        <v>4.4736011440590699</v>
      </c>
    </row>
    <row r="12" spans="1:5" x14ac:dyDescent="0.4">
      <c r="A12" s="1">
        <v>39386</v>
      </c>
      <c r="B12" s="24">
        <v>4.6358529803857698</v>
      </c>
      <c r="C12" s="24">
        <v>1.05224726601298</v>
      </c>
      <c r="D12" s="24">
        <v>-0.16463896673438799</v>
      </c>
      <c r="E12" s="24">
        <v>4.8004919471201601</v>
      </c>
    </row>
    <row r="13" spans="1:5" x14ac:dyDescent="0.4">
      <c r="A13" s="1">
        <v>39416</v>
      </c>
      <c r="B13" s="24">
        <v>5.0271463943198196</v>
      </c>
      <c r="C13" s="24">
        <v>1.10958888630594</v>
      </c>
      <c r="D13" s="24">
        <v>-0.12762973609502801</v>
      </c>
      <c r="E13" s="24">
        <v>5.1547761304148496</v>
      </c>
    </row>
    <row r="14" spans="1:5" x14ac:dyDescent="0.4">
      <c r="A14" s="1">
        <v>39447</v>
      </c>
      <c r="B14" s="24">
        <v>5.1962498315335299</v>
      </c>
      <c r="C14" s="24">
        <v>1.1477220612588399</v>
      </c>
      <c r="D14" s="24">
        <v>-9.3036771029273699E-2</v>
      </c>
      <c r="E14" s="24">
        <v>5.28928660256281</v>
      </c>
    </row>
    <row r="15" spans="1:5" x14ac:dyDescent="0.4">
      <c r="A15" s="1">
        <v>39478</v>
      </c>
      <c r="B15" s="24">
        <v>5.2509791287218501</v>
      </c>
      <c r="C15" s="24">
        <v>1.1579318157480301</v>
      </c>
      <c r="D15" s="24">
        <v>-9.5010030257727904E-2</v>
      </c>
      <c r="E15" s="24">
        <v>5.34598915897958</v>
      </c>
    </row>
    <row r="16" spans="1:5" x14ac:dyDescent="0.4">
      <c r="A16" s="1">
        <v>39507</v>
      </c>
      <c r="B16" s="24">
        <v>5.2509791287218501</v>
      </c>
      <c r="C16" s="24">
        <v>1.1800017364169899</v>
      </c>
      <c r="D16" s="24">
        <v>-8.1866241256180999E-2</v>
      </c>
      <c r="E16" s="24">
        <v>5.3328453699780303</v>
      </c>
    </row>
    <row r="17" spans="1:5" x14ac:dyDescent="0.4">
      <c r="A17" s="1">
        <v>39538</v>
      </c>
      <c r="B17" s="24">
        <v>5.6403764578006399</v>
      </c>
      <c r="C17" s="24">
        <v>1.2478034848869699</v>
      </c>
      <c r="D17" s="24">
        <v>-1.0841002971327601E-2</v>
      </c>
      <c r="E17" s="24">
        <v>5.6512174607719698</v>
      </c>
    </row>
    <row r="18" spans="1:5" x14ac:dyDescent="0.4">
      <c r="A18" s="1">
        <v>39568</v>
      </c>
      <c r="B18" s="24">
        <v>5.0654319635145102</v>
      </c>
      <c r="C18" s="24">
        <v>1.08197337352073</v>
      </c>
      <c r="D18" s="24">
        <v>-2.4275780118193101E-2</v>
      </c>
      <c r="E18" s="24">
        <v>5.0897077436327001</v>
      </c>
    </row>
    <row r="19" spans="1:5" x14ac:dyDescent="0.4">
      <c r="A19" s="1">
        <v>39599</v>
      </c>
      <c r="B19" s="24">
        <v>4.8578832669005498</v>
      </c>
      <c r="C19" s="24">
        <v>0.89060878324431902</v>
      </c>
      <c r="D19" s="24">
        <v>-0.10340807611453801</v>
      </c>
      <c r="E19" s="24">
        <v>4.9612913430150902</v>
      </c>
    </row>
    <row r="20" spans="1:5" x14ac:dyDescent="0.4">
      <c r="A20" s="1">
        <v>39629</v>
      </c>
      <c r="B20" s="24">
        <v>4.2609372412077997</v>
      </c>
      <c r="C20" s="24">
        <v>0.64811159317460698</v>
      </c>
      <c r="D20" s="24">
        <v>-0.24042182139418899</v>
      </c>
      <c r="E20" s="24">
        <v>4.5013590626019901</v>
      </c>
    </row>
    <row r="21" spans="1:5" x14ac:dyDescent="0.4">
      <c r="A21" s="1">
        <v>39660</v>
      </c>
      <c r="B21" s="24">
        <v>4.73913141474757</v>
      </c>
      <c r="C21" s="24">
        <v>0.66660855371610905</v>
      </c>
      <c r="D21" s="24">
        <v>-0.30242288036965598</v>
      </c>
      <c r="E21" s="24">
        <v>5.0415542951172299</v>
      </c>
    </row>
    <row r="22" spans="1:5" x14ac:dyDescent="0.4">
      <c r="A22" s="1">
        <v>39691</v>
      </c>
      <c r="B22" s="24">
        <v>4.2759950325793996</v>
      </c>
      <c r="C22" s="24">
        <v>0.61666474694334705</v>
      </c>
      <c r="D22" s="24">
        <v>-0.37321127122587</v>
      </c>
      <c r="E22" s="24">
        <v>4.6492063038052702</v>
      </c>
    </row>
    <row r="23" spans="1:5" x14ac:dyDescent="0.4">
      <c r="A23" s="1">
        <v>39721</v>
      </c>
      <c r="B23" s="24">
        <v>3.7411261657353498</v>
      </c>
      <c r="C23" s="24">
        <v>0.59352259740138902</v>
      </c>
      <c r="D23" s="24">
        <v>-0.44399966208208502</v>
      </c>
      <c r="E23" s="24">
        <v>4.1851258278174299</v>
      </c>
    </row>
    <row r="24" spans="1:5" x14ac:dyDescent="0.4">
      <c r="A24" s="1">
        <v>39752</v>
      </c>
      <c r="B24" s="24">
        <v>3.1118682736013898</v>
      </c>
      <c r="C24" s="24">
        <v>0.46462985600055001</v>
      </c>
      <c r="D24" s="24">
        <v>-0.58047822136210703</v>
      </c>
      <c r="E24" s="24">
        <v>3.6923464949634899</v>
      </c>
    </row>
    <row r="25" spans="1:5" x14ac:dyDescent="0.4">
      <c r="A25" s="1">
        <v>39782</v>
      </c>
      <c r="B25" s="24">
        <v>2.97968822996897</v>
      </c>
      <c r="C25" s="24">
        <v>0.39420193886671201</v>
      </c>
      <c r="D25" s="24">
        <v>-0.66936923218540301</v>
      </c>
      <c r="E25" s="24">
        <v>3.6490574621543699</v>
      </c>
    </row>
    <row r="26" spans="1:5" x14ac:dyDescent="0.4">
      <c r="A26" s="1">
        <v>39813</v>
      </c>
      <c r="B26" s="24">
        <v>2.92620430262363</v>
      </c>
      <c r="C26" s="24">
        <v>0.29648649282464801</v>
      </c>
      <c r="D26" s="24">
        <v>-0.75826024300869799</v>
      </c>
      <c r="E26" s="24">
        <v>3.68446454563232</v>
      </c>
    </row>
    <row r="27" spans="1:5" x14ac:dyDescent="0.4">
      <c r="A27" s="1">
        <v>39844</v>
      </c>
      <c r="B27" s="24">
        <v>3.0053935341150599</v>
      </c>
      <c r="C27" s="24">
        <v>0.28945911384089101</v>
      </c>
      <c r="D27" s="24">
        <v>-0.75269913907167496</v>
      </c>
      <c r="E27" s="24">
        <v>3.7580926731867401</v>
      </c>
    </row>
    <row r="28" spans="1:5" x14ac:dyDescent="0.4">
      <c r="A28" s="1">
        <v>39872</v>
      </c>
      <c r="B28" s="24">
        <v>2.9439713316777798</v>
      </c>
      <c r="C28" s="24">
        <v>0.28727665585700701</v>
      </c>
      <c r="D28" s="24">
        <v>-0.73329939585788195</v>
      </c>
      <c r="E28" s="24">
        <v>3.6772707275356602</v>
      </c>
    </row>
    <row r="29" spans="1:5" x14ac:dyDescent="0.4">
      <c r="A29" s="1">
        <v>39903</v>
      </c>
      <c r="B29" s="24">
        <v>2.7812781356893499</v>
      </c>
      <c r="C29" s="24">
        <v>0.239587810954176</v>
      </c>
      <c r="D29" s="24">
        <v>-0.73828901013297998</v>
      </c>
      <c r="E29" s="24">
        <v>3.5195671458223301</v>
      </c>
    </row>
    <row r="30" spans="1:5" x14ac:dyDescent="0.4">
      <c r="A30" s="1">
        <v>39933</v>
      </c>
      <c r="B30" s="24">
        <v>1.85825893937836</v>
      </c>
      <c r="C30" s="24">
        <v>0.101955676969084</v>
      </c>
      <c r="D30" s="24">
        <v>-0.83694035119388899</v>
      </c>
      <c r="E30" s="24">
        <v>2.6951992905722499</v>
      </c>
    </row>
    <row r="31" spans="1:5" x14ac:dyDescent="0.4">
      <c r="A31" s="1">
        <v>39964</v>
      </c>
      <c r="B31" s="24">
        <v>1.1784967880329</v>
      </c>
      <c r="C31" s="24">
        <v>-3.6318055212453501E-2</v>
      </c>
      <c r="D31" s="24">
        <v>-0.98009795113380405</v>
      </c>
      <c r="E31" s="24">
        <v>2.15859473916671</v>
      </c>
    </row>
    <row r="32" spans="1:5" x14ac:dyDescent="0.4">
      <c r="A32" s="1">
        <v>39994</v>
      </c>
      <c r="B32" s="24">
        <v>0.59818216973043203</v>
      </c>
      <c r="C32" s="24">
        <v>-0.12781250991052001</v>
      </c>
      <c r="D32" s="24">
        <v>-1.0988661935848301</v>
      </c>
      <c r="E32" s="24">
        <v>1.69704836331526</v>
      </c>
    </row>
    <row r="33" spans="1:5" x14ac:dyDescent="0.4">
      <c r="A33" s="1">
        <v>40025</v>
      </c>
      <c r="B33" s="24">
        <v>0.66671248176832298</v>
      </c>
      <c r="C33" s="24">
        <v>-0.12780958199558601</v>
      </c>
      <c r="D33" s="24">
        <v>-1.1465742189855399</v>
      </c>
      <c r="E33" s="24">
        <v>1.81328670075386</v>
      </c>
    </row>
    <row r="34" spans="1:5" x14ac:dyDescent="0.4">
      <c r="A34" s="1">
        <v>40056</v>
      </c>
      <c r="B34" s="24">
        <v>0.68471119862006602</v>
      </c>
      <c r="C34" s="24">
        <v>-0.13364393501754299</v>
      </c>
      <c r="D34" s="24">
        <v>-1.22738947429557</v>
      </c>
      <c r="E34" s="24">
        <v>1.91210067291564</v>
      </c>
    </row>
    <row r="35" spans="1:5" x14ac:dyDescent="0.4">
      <c r="A35" s="1">
        <v>40086</v>
      </c>
      <c r="B35" s="24">
        <v>0.71050200346968395</v>
      </c>
      <c r="C35" s="24">
        <v>-0.15434056267579199</v>
      </c>
      <c r="D35" s="24">
        <v>-1.2994889435308501</v>
      </c>
      <c r="E35" s="24">
        <v>2.0099909470005399</v>
      </c>
    </row>
    <row r="36" spans="1:5" x14ac:dyDescent="0.4">
      <c r="A36" s="1">
        <v>40117</v>
      </c>
      <c r="B36" s="24">
        <v>0.718126344656277</v>
      </c>
      <c r="C36" s="24">
        <v>-0.137077549677282</v>
      </c>
      <c r="D36" s="24">
        <v>-1.3095844668742</v>
      </c>
      <c r="E36" s="24">
        <v>2.0277108115304801</v>
      </c>
    </row>
    <row r="37" spans="1:5" x14ac:dyDescent="0.4">
      <c r="A37" s="1">
        <v>40147</v>
      </c>
      <c r="B37" s="24">
        <v>0.71104931872975796</v>
      </c>
      <c r="C37" s="24">
        <v>-0.103320183295594</v>
      </c>
      <c r="D37" s="24">
        <v>-1.24974725474124</v>
      </c>
      <c r="E37" s="24">
        <v>1.960796573471</v>
      </c>
    </row>
    <row r="38" spans="1:5" x14ac:dyDescent="0.4">
      <c r="A38" s="1">
        <v>40178</v>
      </c>
      <c r="B38" s="24">
        <v>0.73106269662088796</v>
      </c>
      <c r="C38" s="24">
        <v>-5.74131296401761E-2</v>
      </c>
      <c r="D38" s="24">
        <v>-1.1820010069670699</v>
      </c>
      <c r="E38" s="24">
        <v>1.9130637035879601</v>
      </c>
    </row>
    <row r="39" spans="1:5" x14ac:dyDescent="0.4">
      <c r="A39" s="1">
        <v>40209</v>
      </c>
      <c r="B39" s="24">
        <v>0.69806694415417003</v>
      </c>
      <c r="C39" s="24">
        <v>-4.8403511158367697E-2</v>
      </c>
      <c r="D39" s="24">
        <v>-1.1729718125583</v>
      </c>
      <c r="E39" s="24">
        <v>1.87103875671247</v>
      </c>
    </row>
    <row r="40" spans="1:5" x14ac:dyDescent="0.4">
      <c r="A40" s="1">
        <v>40237</v>
      </c>
      <c r="B40" s="24">
        <v>0.708662379045922</v>
      </c>
      <c r="C40" s="24">
        <v>-4.56003558308525E-2</v>
      </c>
      <c r="D40" s="24">
        <v>-1.1545578483866601</v>
      </c>
      <c r="E40" s="24">
        <v>1.86322022743258</v>
      </c>
    </row>
    <row r="41" spans="1:5" x14ac:dyDescent="0.4">
      <c r="A41" s="1">
        <v>40268</v>
      </c>
      <c r="B41" s="24">
        <v>0.71236069696383697</v>
      </c>
      <c r="C41" s="24">
        <v>-3.1607042375115602E-3</v>
      </c>
      <c r="D41" s="24">
        <v>-1.0693314244390599</v>
      </c>
      <c r="E41" s="24">
        <v>1.78169212140289</v>
      </c>
    </row>
    <row r="42" spans="1:5" x14ac:dyDescent="0.4">
      <c r="A42" s="1">
        <v>40298</v>
      </c>
      <c r="B42" s="24">
        <v>1.50059261420243</v>
      </c>
      <c r="C42" s="24">
        <v>0.13999569451138799</v>
      </c>
      <c r="D42" s="24">
        <v>-0.81102700209654399</v>
      </c>
      <c r="E42" s="24">
        <v>2.3116196162989802</v>
      </c>
    </row>
    <row r="43" spans="1:5" x14ac:dyDescent="0.4">
      <c r="A43" s="1">
        <v>40329</v>
      </c>
      <c r="B43" s="24">
        <v>2.3729093478263201</v>
      </c>
      <c r="C43" s="24">
        <v>0.29168743198961</v>
      </c>
      <c r="D43" s="24">
        <v>-0.507677252581482</v>
      </c>
      <c r="E43" s="24">
        <v>2.8805866004078</v>
      </c>
    </row>
    <row r="44" spans="1:5" x14ac:dyDescent="0.4">
      <c r="A44" s="1">
        <v>40359</v>
      </c>
      <c r="B44" s="24">
        <v>3.2121005355054701</v>
      </c>
      <c r="C44" s="24">
        <v>0.40345514419385903</v>
      </c>
      <c r="D44" s="24">
        <v>-0.28776478455834298</v>
      </c>
      <c r="E44" s="24">
        <v>3.4998653200638201</v>
      </c>
    </row>
    <row r="45" spans="1:5" x14ac:dyDescent="0.4">
      <c r="A45" s="1">
        <v>40390</v>
      </c>
      <c r="B45" s="24">
        <v>3.3956764070190499</v>
      </c>
      <c r="C45" s="24">
        <v>0.43011404754610699</v>
      </c>
      <c r="D45" s="24">
        <v>-0.23907777597336599</v>
      </c>
      <c r="E45" s="24">
        <v>3.6347541829924199</v>
      </c>
    </row>
    <row r="46" spans="1:5" x14ac:dyDescent="0.4">
      <c r="A46" s="1">
        <v>40421</v>
      </c>
      <c r="B46" s="24">
        <v>3.83869183809127</v>
      </c>
      <c r="C46" s="24">
        <v>0.47041219186719102</v>
      </c>
      <c r="D46" s="24">
        <v>-0.183846177212311</v>
      </c>
      <c r="E46" s="24">
        <v>4.0225380153035903</v>
      </c>
    </row>
    <row r="47" spans="1:5" x14ac:dyDescent="0.4">
      <c r="A47" s="1">
        <v>40451</v>
      </c>
      <c r="B47" s="24">
        <v>4.0544059608353402</v>
      </c>
      <c r="C47" s="24">
        <v>0.50291284563208805</v>
      </c>
      <c r="D47" s="24">
        <v>-0.10839009110023699</v>
      </c>
      <c r="E47" s="24">
        <v>4.1627960519355804</v>
      </c>
    </row>
    <row r="48" spans="1:5" x14ac:dyDescent="0.4">
      <c r="A48" s="1">
        <v>40482</v>
      </c>
      <c r="B48" s="24">
        <v>3.9089252987853</v>
      </c>
      <c r="C48" s="24">
        <v>0.50864147865505005</v>
      </c>
      <c r="D48" s="24">
        <v>-3.6247891416257401E-2</v>
      </c>
      <c r="E48" s="24">
        <v>3.9451731902015501</v>
      </c>
    </row>
    <row r="49" spans="1:5" x14ac:dyDescent="0.4">
      <c r="A49" s="1">
        <v>40512</v>
      </c>
      <c r="B49" s="24">
        <v>3.4481169278618098</v>
      </c>
      <c r="C49" s="24">
        <v>0.49672306733684701</v>
      </c>
      <c r="D49" s="24">
        <v>-1.7240303291816299E-2</v>
      </c>
      <c r="E49" s="24">
        <v>3.46535723115363</v>
      </c>
    </row>
    <row r="50" spans="1:5" x14ac:dyDescent="0.4">
      <c r="A50" s="1">
        <v>40543</v>
      </c>
      <c r="B50" s="24">
        <v>3.2146098652664801</v>
      </c>
      <c r="C50" s="24">
        <v>0.49260214657483198</v>
      </c>
      <c r="D50" s="24">
        <v>-1.0121779006644E-2</v>
      </c>
      <c r="E50" s="24">
        <v>3.22473164427312</v>
      </c>
    </row>
    <row r="51" spans="1:5" x14ac:dyDescent="0.4">
      <c r="A51" s="1">
        <v>40574</v>
      </c>
      <c r="B51" s="24">
        <v>3.1062852117608002</v>
      </c>
      <c r="C51" s="24">
        <v>0.49652933382817999</v>
      </c>
      <c r="D51" s="24">
        <v>-1.0978650600552799E-3</v>
      </c>
      <c r="E51" s="24">
        <v>3.1073830768208501</v>
      </c>
    </row>
    <row r="52" spans="1:5" x14ac:dyDescent="0.4">
      <c r="A52" s="1">
        <v>40602</v>
      </c>
      <c r="B52" s="24">
        <v>2.9998904255224002</v>
      </c>
      <c r="C52" s="24">
        <v>0.481355471623922</v>
      </c>
      <c r="D52" s="24">
        <v>7.2371266700546298E-3</v>
      </c>
      <c r="E52" s="24">
        <v>2.9926532988523502</v>
      </c>
    </row>
    <row r="53" spans="1:5" x14ac:dyDescent="0.4">
      <c r="A53" s="1">
        <v>40633</v>
      </c>
      <c r="B53" s="24">
        <v>3.3125828181864301</v>
      </c>
      <c r="C53" s="24">
        <v>0.43965745819718599</v>
      </c>
      <c r="D53" s="24">
        <v>9.6462544904620702E-3</v>
      </c>
      <c r="E53" s="24">
        <v>3.3029365636959702</v>
      </c>
    </row>
    <row r="54" spans="1:5" x14ac:dyDescent="0.4">
      <c r="A54" s="1">
        <v>40663</v>
      </c>
      <c r="B54" s="24">
        <v>2.9121470208916702</v>
      </c>
      <c r="C54" s="24">
        <v>0.37015739436931999</v>
      </c>
      <c r="D54" s="24">
        <v>-3.7584200439129897E-2</v>
      </c>
      <c r="E54" s="24">
        <v>2.9497312213307998</v>
      </c>
    </row>
    <row r="55" spans="1:5" x14ac:dyDescent="0.4">
      <c r="A55" s="1">
        <v>40694</v>
      </c>
      <c r="B55" s="24">
        <v>2.5134918213086901</v>
      </c>
      <c r="C55" s="24">
        <v>0.31969645182269701</v>
      </c>
      <c r="D55" s="24">
        <v>-7.1780220951142601E-2</v>
      </c>
      <c r="E55" s="24">
        <v>2.5852720422598301</v>
      </c>
    </row>
    <row r="56" spans="1:5" x14ac:dyDescent="0.4">
      <c r="A56" s="1">
        <v>40724</v>
      </c>
      <c r="B56" s="24">
        <v>1.65667378944951</v>
      </c>
      <c r="C56" s="24">
        <v>0.29525627162118701</v>
      </c>
      <c r="D56" s="24">
        <v>-0.108385801065204</v>
      </c>
      <c r="E56" s="24">
        <v>1.76505959051471</v>
      </c>
    </row>
    <row r="57" spans="1:5" x14ac:dyDescent="0.4">
      <c r="A57" s="1">
        <v>40755</v>
      </c>
      <c r="B57" s="24">
        <v>1.63664420176277</v>
      </c>
      <c r="C57" s="24">
        <v>0.29611348910943902</v>
      </c>
      <c r="D57" s="24">
        <v>-9.7047138467064406E-2</v>
      </c>
      <c r="E57" s="24">
        <v>1.73369134022983</v>
      </c>
    </row>
    <row r="58" spans="1:5" x14ac:dyDescent="0.4">
      <c r="A58" s="1">
        <v>40786</v>
      </c>
      <c r="B58" s="24">
        <v>1.4617674492844499</v>
      </c>
      <c r="C58" s="24">
        <v>0.29609878479353802</v>
      </c>
      <c r="D58" s="24">
        <v>-0.12073989241420501</v>
      </c>
      <c r="E58" s="24">
        <v>1.5825073416986599</v>
      </c>
    </row>
    <row r="59" spans="1:5" x14ac:dyDescent="0.4">
      <c r="A59" s="1">
        <v>40816</v>
      </c>
      <c r="B59" s="24">
        <v>1.3471307347832</v>
      </c>
      <c r="C59" s="24">
        <v>0.29187823331763202</v>
      </c>
      <c r="D59" s="24">
        <v>-0.13513210279257301</v>
      </c>
      <c r="E59" s="24">
        <v>1.48226283757577</v>
      </c>
    </row>
    <row r="60" spans="1:5" x14ac:dyDescent="0.4">
      <c r="A60" s="1">
        <v>40847</v>
      </c>
      <c r="B60" s="24">
        <v>1.26909194716276</v>
      </c>
      <c r="C60" s="24">
        <v>0.28327653852357199</v>
      </c>
      <c r="D60" s="24">
        <v>-0.185977935361303</v>
      </c>
      <c r="E60" s="24">
        <v>1.45506988252406</v>
      </c>
    </row>
    <row r="61" spans="1:5" x14ac:dyDescent="0.4">
      <c r="A61" s="1">
        <v>40877</v>
      </c>
      <c r="B61" s="24">
        <v>1.3070711810862601</v>
      </c>
      <c r="C61" s="24">
        <v>0.269835826435112</v>
      </c>
      <c r="D61" s="24">
        <v>-0.20721091160483601</v>
      </c>
      <c r="E61" s="24">
        <v>1.5142820926911</v>
      </c>
    </row>
    <row r="62" spans="1:5" x14ac:dyDescent="0.4">
      <c r="A62" s="1">
        <v>40908</v>
      </c>
      <c r="B62" s="24">
        <v>1.3238860304064699</v>
      </c>
      <c r="C62" s="24">
        <v>0.258890052611713</v>
      </c>
      <c r="D62" s="24">
        <v>-0.23774443141714199</v>
      </c>
      <c r="E62" s="24">
        <v>1.5616304618236101</v>
      </c>
    </row>
    <row r="63" spans="1:5" x14ac:dyDescent="0.4">
      <c r="A63" s="1">
        <v>40939</v>
      </c>
      <c r="B63" s="24">
        <v>1.27847743038637</v>
      </c>
      <c r="C63" s="24">
        <v>0.24873280558508801</v>
      </c>
      <c r="D63" s="24">
        <v>-0.23096502465924301</v>
      </c>
      <c r="E63" s="24">
        <v>1.50944245504561</v>
      </c>
    </row>
    <row r="64" spans="1:5" x14ac:dyDescent="0.4">
      <c r="A64" s="1">
        <v>40968</v>
      </c>
      <c r="B64" s="24">
        <v>1.2544342687633601</v>
      </c>
      <c r="C64" s="24">
        <v>0.24141843204722399</v>
      </c>
      <c r="D64" s="24">
        <v>-0.23131444052275699</v>
      </c>
      <c r="E64" s="24">
        <v>1.4857487092861199</v>
      </c>
    </row>
    <row r="65" spans="1:5" x14ac:dyDescent="0.4">
      <c r="A65" s="1">
        <v>40999</v>
      </c>
      <c r="B65" s="24">
        <v>1.0661746821374301</v>
      </c>
      <c r="C65" s="24">
        <v>0.209034907762399</v>
      </c>
      <c r="D65" s="24">
        <v>-0.25772592104060299</v>
      </c>
      <c r="E65" s="24">
        <v>1.32390060317803</v>
      </c>
    </row>
    <row r="66" spans="1:5" x14ac:dyDescent="0.4">
      <c r="A66" s="1">
        <v>41029</v>
      </c>
      <c r="B66" s="24">
        <v>0.85403167073979502</v>
      </c>
      <c r="C66" s="24">
        <v>0.14605567727133401</v>
      </c>
      <c r="D66" s="24">
        <v>-0.397495811277852</v>
      </c>
      <c r="E66" s="24">
        <v>1.2515274820176501</v>
      </c>
    </row>
    <row r="67" spans="1:5" x14ac:dyDescent="0.4">
      <c r="A67" s="1">
        <v>41060</v>
      </c>
      <c r="B67" s="24">
        <v>0.60566740857579704</v>
      </c>
      <c r="C67" s="24">
        <v>7.5944196363945393E-2</v>
      </c>
      <c r="D67" s="24">
        <v>-0.54757756053818096</v>
      </c>
      <c r="E67" s="24">
        <v>1.1532449691139799</v>
      </c>
    </row>
    <row r="68" spans="1:5" x14ac:dyDescent="0.4">
      <c r="A68" s="1">
        <v>41090</v>
      </c>
      <c r="B68" s="24">
        <v>0.52151957141471905</v>
      </c>
      <c r="C68" s="24">
        <v>3.3526686837195098E-2</v>
      </c>
      <c r="D68" s="24">
        <v>-0.66523515969567604</v>
      </c>
      <c r="E68" s="24">
        <v>1.1867547311103901</v>
      </c>
    </row>
    <row r="69" spans="1:5" x14ac:dyDescent="0.4">
      <c r="A69" s="1">
        <v>41121</v>
      </c>
      <c r="B69" s="24">
        <v>0.50388867440917195</v>
      </c>
      <c r="C69" s="24">
        <v>2.8174754128313901E-2</v>
      </c>
      <c r="D69" s="24">
        <v>-0.66431849492611195</v>
      </c>
      <c r="E69" s="24">
        <v>1.16820716933528</v>
      </c>
    </row>
    <row r="70" spans="1:5" x14ac:dyDescent="0.4">
      <c r="A70" s="1">
        <v>41152</v>
      </c>
      <c r="B70" s="24">
        <v>0.44334311594648901</v>
      </c>
      <c r="C70" s="24">
        <v>5.54846791009562E-3</v>
      </c>
      <c r="D70" s="24">
        <v>-0.70981286509165797</v>
      </c>
      <c r="E70" s="24">
        <v>1.15315598103815</v>
      </c>
    </row>
    <row r="71" spans="1:5" x14ac:dyDescent="0.4">
      <c r="A71" s="1">
        <v>41182</v>
      </c>
      <c r="B71" s="24">
        <v>0.38529545123818598</v>
      </c>
      <c r="C71" s="24">
        <v>-2.1589959930488199E-2</v>
      </c>
      <c r="D71" s="24">
        <v>-0.76353188657049098</v>
      </c>
      <c r="E71" s="24">
        <v>1.14882733780868</v>
      </c>
    </row>
    <row r="72" spans="1:5" x14ac:dyDescent="0.4">
      <c r="A72" s="1">
        <v>41213</v>
      </c>
      <c r="B72" s="24">
        <v>0.29974689340725902</v>
      </c>
      <c r="C72" s="24">
        <v>-6.3885635601259899E-2</v>
      </c>
      <c r="D72" s="24">
        <v>-0.85747737535103896</v>
      </c>
      <c r="E72" s="24">
        <v>1.1572242687583001</v>
      </c>
    </row>
    <row r="73" spans="1:5" x14ac:dyDescent="0.4">
      <c r="A73" s="1">
        <v>41243</v>
      </c>
      <c r="B73" s="24">
        <v>0.28611908587931201</v>
      </c>
      <c r="C73" s="24">
        <v>-9.1750664599815304E-2</v>
      </c>
      <c r="D73" s="24">
        <v>-0.88493069293773796</v>
      </c>
      <c r="E73" s="24">
        <v>1.17104977881705</v>
      </c>
    </row>
    <row r="74" spans="1:5" x14ac:dyDescent="0.4">
      <c r="A74" s="1">
        <v>41274</v>
      </c>
      <c r="B74" s="24">
        <v>0.27257081509366399</v>
      </c>
      <c r="C74" s="24">
        <v>-0.115514074837373</v>
      </c>
      <c r="D74" s="24">
        <v>-0.91052144465965201</v>
      </c>
      <c r="E74" s="24">
        <v>1.18309225975332</v>
      </c>
    </row>
    <row r="75" spans="1:5" x14ac:dyDescent="0.4">
      <c r="A75" s="1">
        <v>41305</v>
      </c>
      <c r="B75" s="24">
        <v>0.29029970526352</v>
      </c>
      <c r="C75" s="24">
        <v>-0.123128812742083</v>
      </c>
      <c r="D75" s="24">
        <v>-0.90070958981961902</v>
      </c>
      <c r="E75" s="24">
        <v>1.1910092950831399</v>
      </c>
    </row>
    <row r="76" spans="1:5" x14ac:dyDescent="0.4">
      <c r="A76" s="1">
        <v>41333</v>
      </c>
      <c r="B76" s="24">
        <v>0.30365698184753798</v>
      </c>
      <c r="C76" s="24">
        <v>-0.12113691215708999</v>
      </c>
      <c r="D76" s="24">
        <v>-0.90070958981961902</v>
      </c>
      <c r="E76" s="24">
        <v>1.2043665716671601</v>
      </c>
    </row>
    <row r="77" spans="1:5" x14ac:dyDescent="0.4">
      <c r="A77" s="1">
        <v>41364</v>
      </c>
      <c r="B77" s="24">
        <v>0.31973230089407001</v>
      </c>
      <c r="C77" s="24">
        <v>-0.107239863847006</v>
      </c>
      <c r="D77" s="24">
        <v>-0.87187712010798502</v>
      </c>
      <c r="E77" s="24">
        <v>1.19160942100205</v>
      </c>
    </row>
    <row r="78" spans="1:5" x14ac:dyDescent="0.4">
      <c r="A78" s="1">
        <v>41394</v>
      </c>
      <c r="B78" s="24">
        <v>0.33614077550942101</v>
      </c>
      <c r="C78" s="24">
        <v>-8.7871416806491298E-2</v>
      </c>
      <c r="D78" s="24">
        <v>-0.834601410166814</v>
      </c>
      <c r="E78" s="24">
        <v>1.1707421856762299</v>
      </c>
    </row>
    <row r="79" spans="1:5" x14ac:dyDescent="0.4">
      <c r="A79" s="1">
        <v>41425</v>
      </c>
      <c r="B79" s="24">
        <v>0.44172418733327601</v>
      </c>
      <c r="C79" s="24">
        <v>-5.5873220954403897E-2</v>
      </c>
      <c r="D79" s="24">
        <v>-0.80254136499614603</v>
      </c>
      <c r="E79" s="24">
        <v>1.2442655523294199</v>
      </c>
    </row>
    <row r="80" spans="1:5" x14ac:dyDescent="0.4">
      <c r="A80" s="1">
        <v>41455</v>
      </c>
      <c r="B80" s="24">
        <v>0.54201212619793904</v>
      </c>
      <c r="C80" s="24">
        <v>-3.9108838954123398E-2</v>
      </c>
      <c r="D80" s="24">
        <v>-0.79638661119448795</v>
      </c>
      <c r="E80" s="24">
        <v>1.33839873739243</v>
      </c>
    </row>
    <row r="81" spans="1:5" x14ac:dyDescent="0.4">
      <c r="A81" s="1">
        <v>41486</v>
      </c>
      <c r="B81" s="24">
        <v>0.63558251582952097</v>
      </c>
      <c r="C81" s="24">
        <v>-2.68019168305044E-2</v>
      </c>
      <c r="D81" s="24">
        <v>-0.79723984262126202</v>
      </c>
      <c r="E81" s="24">
        <v>1.43282235845078</v>
      </c>
    </row>
    <row r="82" spans="1:5" x14ac:dyDescent="0.4">
      <c r="A82" s="1">
        <v>41517</v>
      </c>
      <c r="B82" s="24">
        <v>0.71249003144300005</v>
      </c>
      <c r="C82" s="24">
        <v>-1.25371829634914E-2</v>
      </c>
      <c r="D82" s="24">
        <v>-0.79852113911047296</v>
      </c>
      <c r="E82" s="24">
        <v>1.5110111705534699</v>
      </c>
    </row>
    <row r="83" spans="1:5" x14ac:dyDescent="0.4">
      <c r="A83" s="1">
        <v>41547</v>
      </c>
      <c r="B83" s="24">
        <v>0.77900676178899197</v>
      </c>
      <c r="C83" s="24">
        <v>9.0415357098006192E-3</v>
      </c>
      <c r="D83" s="24">
        <v>-0.80832759107381302</v>
      </c>
      <c r="E83" s="24">
        <v>1.5873343528628101</v>
      </c>
    </row>
    <row r="84" spans="1:5" x14ac:dyDescent="0.4">
      <c r="A84" s="1">
        <v>41578</v>
      </c>
      <c r="B84" s="24">
        <v>0.86736280601759896</v>
      </c>
      <c r="C84" s="24">
        <v>4.20215724819464E-2</v>
      </c>
      <c r="D84" s="24">
        <v>-0.74386894591645003</v>
      </c>
      <c r="E84" s="24">
        <v>1.61123175193405</v>
      </c>
    </row>
    <row r="85" spans="1:5" x14ac:dyDescent="0.4">
      <c r="A85" s="1">
        <v>41608</v>
      </c>
      <c r="B85" s="24">
        <v>0.910638687002013</v>
      </c>
      <c r="C85" s="24">
        <v>6.6086765300956002E-2</v>
      </c>
      <c r="D85" s="24">
        <v>-0.65757181959740596</v>
      </c>
      <c r="E85" s="24">
        <v>1.5682105065994201</v>
      </c>
    </row>
    <row r="86" spans="1:5" x14ac:dyDescent="0.4">
      <c r="A86" s="1">
        <v>41639</v>
      </c>
      <c r="B86" s="24">
        <v>0.96430535325391398</v>
      </c>
      <c r="C86" s="24">
        <v>8.6166639440402704E-2</v>
      </c>
      <c r="D86" s="24">
        <v>-0.56567671614685799</v>
      </c>
      <c r="E86" s="24">
        <v>1.52998206940077</v>
      </c>
    </row>
    <row r="87" spans="1:5" x14ac:dyDescent="0.4">
      <c r="A87" s="1">
        <v>41670</v>
      </c>
      <c r="B87" s="24">
        <v>1.0385184237509799</v>
      </c>
      <c r="C87" s="24">
        <v>9.2966906154808696E-2</v>
      </c>
      <c r="D87" s="24">
        <v>-0.549628240477122</v>
      </c>
      <c r="E87" s="24">
        <v>1.5881466642281099</v>
      </c>
    </row>
    <row r="88" spans="1:5" x14ac:dyDescent="0.4">
      <c r="A88" s="1">
        <v>41698</v>
      </c>
      <c r="B88" s="24">
        <v>1.0768745908461099</v>
      </c>
      <c r="C88" s="24">
        <v>0.10597085898766299</v>
      </c>
      <c r="D88" s="24">
        <v>-0.54667251153526797</v>
      </c>
      <c r="E88" s="24">
        <v>1.6235471023813699</v>
      </c>
    </row>
    <row r="89" spans="1:5" x14ac:dyDescent="0.4">
      <c r="A89" s="1">
        <v>41729</v>
      </c>
      <c r="B89" s="24">
        <v>1.04994312021337</v>
      </c>
      <c r="C89" s="24">
        <v>0.120605432051491</v>
      </c>
      <c r="D89" s="24">
        <v>-0.561376700831276</v>
      </c>
      <c r="E89" s="24">
        <v>1.61131982104465</v>
      </c>
    </row>
    <row r="90" spans="1:5" x14ac:dyDescent="0.4">
      <c r="A90" s="1">
        <v>41759</v>
      </c>
      <c r="B90" s="24">
        <v>1.0753175143626801</v>
      </c>
      <c r="C90" s="24">
        <v>0.13895684572927799</v>
      </c>
      <c r="D90" s="24">
        <v>-0.55816043957847805</v>
      </c>
      <c r="E90" s="24">
        <v>1.6334779539411599</v>
      </c>
    </row>
    <row r="91" spans="1:5" x14ac:dyDescent="0.4">
      <c r="A91" s="1">
        <v>41790</v>
      </c>
      <c r="B91" s="24">
        <v>1.05314083043204</v>
      </c>
      <c r="C91" s="24">
        <v>0.144262238483476</v>
      </c>
      <c r="D91" s="24">
        <v>-0.56990475226501702</v>
      </c>
      <c r="E91" s="24">
        <v>1.62304558269706</v>
      </c>
    </row>
    <row r="92" spans="1:5" x14ac:dyDescent="0.4">
      <c r="A92" s="1">
        <v>41820</v>
      </c>
      <c r="B92" s="24">
        <v>1.0962517842292601</v>
      </c>
      <c r="C92" s="24">
        <v>0.14844736660722299</v>
      </c>
      <c r="D92" s="24">
        <v>-0.55804695244857205</v>
      </c>
      <c r="E92" s="24">
        <v>1.6542987366778299</v>
      </c>
    </row>
    <row r="93" spans="1:5" x14ac:dyDescent="0.4">
      <c r="A93" s="1">
        <v>41851</v>
      </c>
      <c r="B93" s="24">
        <v>1.07121648037626</v>
      </c>
      <c r="C93" s="24">
        <v>0.14819304173620801</v>
      </c>
      <c r="D93" s="24">
        <v>-0.56793766692238701</v>
      </c>
      <c r="E93" s="24">
        <v>1.6391541472986499</v>
      </c>
    </row>
    <row r="94" spans="1:5" x14ac:dyDescent="0.4">
      <c r="A94" s="1">
        <v>41882</v>
      </c>
      <c r="B94" s="24">
        <v>1.1276951366661501</v>
      </c>
      <c r="C94" s="24">
        <v>0.15085168128297499</v>
      </c>
      <c r="D94" s="24">
        <v>-0.56691623217704201</v>
      </c>
      <c r="E94" s="24">
        <v>1.6946113688431901</v>
      </c>
    </row>
    <row r="95" spans="1:5" x14ac:dyDescent="0.4">
      <c r="A95" s="1">
        <v>41912</v>
      </c>
      <c r="B95" s="24">
        <v>1.0731553112715899</v>
      </c>
      <c r="C95" s="24">
        <v>0.14952555817612201</v>
      </c>
      <c r="D95" s="24">
        <v>-0.55948620739162502</v>
      </c>
      <c r="E95" s="24">
        <v>1.6326415186632099</v>
      </c>
    </row>
    <row r="96" spans="1:5" x14ac:dyDescent="0.4">
      <c r="A96" s="1">
        <v>41943</v>
      </c>
      <c r="B96" s="24">
        <v>1.03694792201916</v>
      </c>
      <c r="C96" s="24">
        <v>0.15004816915591099</v>
      </c>
      <c r="D96" s="24">
        <v>-0.54449100349336799</v>
      </c>
      <c r="E96" s="24">
        <v>1.5814389255125301</v>
      </c>
    </row>
    <row r="97" spans="1:5" x14ac:dyDescent="0.4">
      <c r="A97" s="1">
        <v>41973</v>
      </c>
      <c r="B97" s="24">
        <v>0.98973577825994496</v>
      </c>
      <c r="C97" s="24">
        <v>0.148315563287165</v>
      </c>
      <c r="D97" s="24">
        <v>-0.52993461969312095</v>
      </c>
      <c r="E97" s="24">
        <v>1.5196703979530699</v>
      </c>
    </row>
    <row r="98" spans="1:5" x14ac:dyDescent="0.4">
      <c r="A98" s="1">
        <v>42004</v>
      </c>
      <c r="B98" s="24">
        <v>1.0535421161851799</v>
      </c>
      <c r="C98" s="24">
        <v>0.15005736447151599</v>
      </c>
      <c r="D98" s="24">
        <v>-0.527729020198067</v>
      </c>
      <c r="E98" s="24">
        <v>1.5812711363832499</v>
      </c>
    </row>
    <row r="99" spans="1:5" x14ac:dyDescent="0.4">
      <c r="A99" s="1">
        <v>42035</v>
      </c>
      <c r="B99" s="24">
        <v>1.0696394057171701</v>
      </c>
      <c r="C99" s="24">
        <v>0.149381435840657</v>
      </c>
      <c r="D99" s="24">
        <v>-0.52141540299513001</v>
      </c>
      <c r="E99" s="24">
        <v>1.5910548087123</v>
      </c>
    </row>
    <row r="100" spans="1:5" x14ac:dyDescent="0.4">
      <c r="A100" s="1">
        <v>42063</v>
      </c>
      <c r="B100" s="24">
        <v>1.11054921177804</v>
      </c>
      <c r="C100" s="24">
        <v>0.149381435840657</v>
      </c>
      <c r="D100" s="24">
        <v>-0.51193406411851805</v>
      </c>
      <c r="E100" s="24">
        <v>1.6224832758965499</v>
      </c>
    </row>
    <row r="101" spans="1:5" x14ac:dyDescent="0.4">
      <c r="A101" s="1">
        <v>42094</v>
      </c>
      <c r="B101" s="24">
        <v>1.0916853428556801</v>
      </c>
      <c r="C101" s="24">
        <v>0.14321353215062499</v>
      </c>
      <c r="D101" s="24">
        <v>-0.47527446898162801</v>
      </c>
      <c r="E101" s="24">
        <v>1.56695981183731</v>
      </c>
    </row>
    <row r="102" spans="1:5" x14ac:dyDescent="0.4">
      <c r="A102" s="1">
        <v>42124</v>
      </c>
      <c r="B102" s="24">
        <v>0.94782867557725603</v>
      </c>
      <c r="C102" s="24">
        <v>0.117057272419634</v>
      </c>
      <c r="D102" s="24">
        <v>-0.52593232933026801</v>
      </c>
      <c r="E102" s="24">
        <v>1.47376100490752</v>
      </c>
    </row>
    <row r="103" spans="1:5" x14ac:dyDescent="0.4">
      <c r="A103" s="1">
        <v>42155</v>
      </c>
      <c r="B103" s="24">
        <v>0.77934065062189295</v>
      </c>
      <c r="C103" s="24">
        <v>9.8112951660338205E-2</v>
      </c>
      <c r="D103" s="24">
        <v>-0.60592126737927299</v>
      </c>
      <c r="E103" s="24">
        <v>1.38526191800117</v>
      </c>
    </row>
    <row r="104" spans="1:5" x14ac:dyDescent="0.4">
      <c r="A104" s="1">
        <v>42185</v>
      </c>
      <c r="B104" s="24">
        <v>0.67062630064975304</v>
      </c>
      <c r="C104" s="24">
        <v>8.5336534591075194E-2</v>
      </c>
      <c r="D104" s="24">
        <v>-0.70457740144230396</v>
      </c>
      <c r="E104" s="24">
        <v>1.37520370209206</v>
      </c>
    </row>
    <row r="105" spans="1:5" x14ac:dyDescent="0.4">
      <c r="A105" s="1">
        <v>42216</v>
      </c>
      <c r="B105" s="24">
        <v>0.69113466590914696</v>
      </c>
      <c r="C105" s="24">
        <v>9.5481299430158706E-2</v>
      </c>
      <c r="D105" s="24">
        <v>-0.72227201065949598</v>
      </c>
      <c r="E105" s="24">
        <v>1.4134066765686399</v>
      </c>
    </row>
    <row r="106" spans="1:5" x14ac:dyDescent="0.4">
      <c r="A106" s="1">
        <v>42247</v>
      </c>
      <c r="B106" s="24">
        <v>0.72530938011407298</v>
      </c>
      <c r="C106" s="24">
        <v>8.3853523125110505E-2</v>
      </c>
      <c r="D106" s="24">
        <v>-0.677956781827454</v>
      </c>
      <c r="E106" s="24">
        <v>1.4032661619415301</v>
      </c>
    </row>
    <row r="107" spans="1:5" x14ac:dyDescent="0.4">
      <c r="A107" s="1">
        <v>42277</v>
      </c>
      <c r="B107" s="24">
        <v>0.743684705447755</v>
      </c>
      <c r="C107" s="24">
        <v>6.8748772962507906E-2</v>
      </c>
      <c r="D107" s="24">
        <v>-0.63697810899590002</v>
      </c>
      <c r="E107" s="24">
        <v>1.3806628144436499</v>
      </c>
    </row>
    <row r="108" spans="1:5" x14ac:dyDescent="0.4">
      <c r="A108" s="1">
        <v>42308</v>
      </c>
      <c r="B108" s="24">
        <v>0.75959180654949199</v>
      </c>
      <c r="C108" s="24">
        <v>5.2568502710508599E-2</v>
      </c>
      <c r="D108" s="24">
        <v>-0.60929515991014105</v>
      </c>
      <c r="E108" s="24">
        <v>1.3688869664596299</v>
      </c>
    </row>
    <row r="109" spans="1:5" x14ac:dyDescent="0.4">
      <c r="A109" s="1">
        <v>42338</v>
      </c>
      <c r="B109" s="24">
        <v>0.85188306165971295</v>
      </c>
      <c r="C109" s="24">
        <v>5.0335838976314301E-2</v>
      </c>
      <c r="D109" s="24">
        <v>-0.63898726104534398</v>
      </c>
      <c r="E109" s="24">
        <v>1.4908703227050599</v>
      </c>
    </row>
    <row r="110" spans="1:5" x14ac:dyDescent="0.4">
      <c r="A110" s="1">
        <v>42369</v>
      </c>
      <c r="B110" s="24">
        <v>0.95997370564117901</v>
      </c>
      <c r="C110" s="24">
        <v>5.1580149099674198E-2</v>
      </c>
      <c r="D110" s="24">
        <v>-0.67385386642631095</v>
      </c>
      <c r="E110" s="24">
        <v>1.63382757206749</v>
      </c>
    </row>
    <row r="111" spans="1:5" x14ac:dyDescent="0.4">
      <c r="A111" s="1">
        <v>42400</v>
      </c>
      <c r="B111" s="24">
        <v>1.0717420698019999</v>
      </c>
      <c r="C111" s="24">
        <v>5.3941403556844299E-2</v>
      </c>
      <c r="D111" s="24">
        <v>-0.69676767484205704</v>
      </c>
      <c r="E111" s="24">
        <v>1.7685097446440501</v>
      </c>
    </row>
    <row r="112" spans="1:5" x14ac:dyDescent="0.4">
      <c r="A112" s="1">
        <v>42429</v>
      </c>
      <c r="B112" s="24">
        <v>1.0005223816122299</v>
      </c>
      <c r="C112" s="24">
        <v>5.3165774670621099E-2</v>
      </c>
      <c r="D112" s="24">
        <v>-0.72243919719965</v>
      </c>
      <c r="E112" s="24">
        <v>1.7229615788118799</v>
      </c>
    </row>
    <row r="113" spans="1:5" x14ac:dyDescent="0.4">
      <c r="A113" s="1">
        <v>42460</v>
      </c>
      <c r="B113" s="24">
        <v>0.91086182108922298</v>
      </c>
      <c r="C113" s="24">
        <v>4.6953046697922003E-2</v>
      </c>
      <c r="D113" s="24">
        <v>-0.77199446882871603</v>
      </c>
      <c r="E113" s="24">
        <v>1.68285628991794</v>
      </c>
    </row>
    <row r="114" spans="1:5" x14ac:dyDescent="0.4">
      <c r="A114" s="1">
        <v>42490</v>
      </c>
      <c r="B114" s="24">
        <v>0.84684634645127099</v>
      </c>
      <c r="C114" s="24">
        <v>6.0990278002057398E-2</v>
      </c>
      <c r="D114" s="24">
        <v>-0.86875188820499605</v>
      </c>
      <c r="E114" s="24">
        <v>1.7155982346562699</v>
      </c>
    </row>
    <row r="115" spans="1:5" x14ac:dyDescent="0.4">
      <c r="A115" s="1">
        <v>42521</v>
      </c>
      <c r="B115" s="24">
        <v>0.793142430384842</v>
      </c>
      <c r="C115" s="24">
        <v>6.1115194682158397E-2</v>
      </c>
      <c r="D115" s="24">
        <v>-1.00157823054392</v>
      </c>
      <c r="E115" s="24">
        <v>1.79472066092876</v>
      </c>
    </row>
    <row r="116" spans="1:5" x14ac:dyDescent="0.4">
      <c r="A116" s="1">
        <v>42551</v>
      </c>
      <c r="B116" s="24">
        <v>0.757879386651646</v>
      </c>
      <c r="C116" s="24">
        <v>6.7902258531906901E-2</v>
      </c>
      <c r="D116" s="24">
        <v>-1.11052082361136</v>
      </c>
      <c r="E116" s="24">
        <v>1.86840021026301</v>
      </c>
    </row>
    <row r="117" spans="1:5" x14ac:dyDescent="0.4">
      <c r="A117" s="1">
        <v>42582</v>
      </c>
      <c r="B117" s="24">
        <v>0.69643808563968301</v>
      </c>
      <c r="C117" s="24">
        <v>5.2816714203436803E-2</v>
      </c>
      <c r="D117" s="24">
        <v>-1.16469805387948</v>
      </c>
      <c r="E117" s="24">
        <v>1.8611361395191599</v>
      </c>
    </row>
    <row r="118" spans="1:5" x14ac:dyDescent="0.4">
      <c r="A118" s="1">
        <v>42613</v>
      </c>
      <c r="B118" s="24">
        <v>0.70257115631710898</v>
      </c>
      <c r="C118" s="24">
        <v>5.1134458541077302E-2</v>
      </c>
      <c r="D118" s="24">
        <v>-1.15279224585138</v>
      </c>
      <c r="E118" s="24">
        <v>1.8553634021684899</v>
      </c>
    </row>
    <row r="119" spans="1:5" x14ac:dyDescent="0.4">
      <c r="A119" s="1">
        <v>42643</v>
      </c>
      <c r="B119" s="24">
        <v>0.70870422699453495</v>
      </c>
      <c r="C119" s="24">
        <v>4.7378562478742801E-2</v>
      </c>
      <c r="D119" s="24">
        <v>-1.17220320437549</v>
      </c>
      <c r="E119" s="24">
        <v>1.88090743137003</v>
      </c>
    </row>
    <row r="120" spans="1:5" x14ac:dyDescent="0.4">
      <c r="A120" s="1">
        <v>42674</v>
      </c>
      <c r="B120" s="24">
        <v>0.82578939309584598</v>
      </c>
      <c r="C120" s="24">
        <v>5.6443472098222799E-2</v>
      </c>
      <c r="D120" s="24">
        <v>-1.1120846415841299</v>
      </c>
      <c r="E120" s="24">
        <v>1.9378740346799701</v>
      </c>
    </row>
    <row r="121" spans="1:5" x14ac:dyDescent="0.4">
      <c r="A121" s="1">
        <v>42704</v>
      </c>
      <c r="B121" s="24">
        <v>0.97571098508577103</v>
      </c>
      <c r="C121" s="24">
        <v>7.8785076403269899E-2</v>
      </c>
      <c r="D121" s="24">
        <v>-1.0306503060649299</v>
      </c>
      <c r="E121" s="24">
        <v>2.0063612911507001</v>
      </c>
    </row>
    <row r="122" spans="1:5" x14ac:dyDescent="0.4">
      <c r="A122" s="1">
        <v>42735</v>
      </c>
      <c r="B122" s="24">
        <v>1.1256325770757001</v>
      </c>
      <c r="C122" s="24">
        <v>0.101391522186944</v>
      </c>
      <c r="D122" s="24">
        <v>-0.91789920399352998</v>
      </c>
      <c r="E122" s="24">
        <v>2.0435317810692299</v>
      </c>
    </row>
    <row r="123" spans="1:5" x14ac:dyDescent="0.4">
      <c r="A123" s="1">
        <v>42766</v>
      </c>
      <c r="B123" s="24">
        <v>1.16744139320125</v>
      </c>
      <c r="C123" s="24">
        <v>0.110671590437662</v>
      </c>
      <c r="D123" s="24">
        <v>-0.892240838289724</v>
      </c>
      <c r="E123" s="24">
        <v>2.0596822314909802</v>
      </c>
    </row>
    <row r="124" spans="1:5" x14ac:dyDescent="0.4">
      <c r="A124" s="1">
        <v>42794</v>
      </c>
      <c r="B124" s="24">
        <v>1.13722680924835</v>
      </c>
      <c r="C124" s="24">
        <v>0.11026799853168601</v>
      </c>
      <c r="D124" s="24">
        <v>-0.892266705493589</v>
      </c>
      <c r="E124" s="24">
        <v>2.0294935147419402</v>
      </c>
    </row>
    <row r="125" spans="1:5" x14ac:dyDescent="0.4">
      <c r="A125" s="1">
        <v>42825</v>
      </c>
      <c r="B125" s="24">
        <v>1.18427998054689</v>
      </c>
      <c r="C125" s="24">
        <v>0.122733932520875</v>
      </c>
      <c r="D125" s="24">
        <v>-0.85528106516914204</v>
      </c>
      <c r="E125" s="24">
        <v>2.03956104571603</v>
      </c>
    </row>
    <row r="126" spans="1:5" x14ac:dyDescent="0.4">
      <c r="A126" s="1">
        <v>42855</v>
      </c>
      <c r="B126" s="24">
        <v>1.6415066367353599</v>
      </c>
      <c r="C126" s="24">
        <v>0.182166801019464</v>
      </c>
      <c r="D126" s="24">
        <v>-0.64764556856100197</v>
      </c>
      <c r="E126" s="24">
        <v>2.28915220529636</v>
      </c>
    </row>
    <row r="127" spans="1:5" x14ac:dyDescent="0.4">
      <c r="A127" s="1">
        <v>42886</v>
      </c>
      <c r="B127" s="24">
        <v>2.9825846546899299</v>
      </c>
      <c r="C127" s="24">
        <v>0.241864028079076</v>
      </c>
      <c r="D127" s="24">
        <v>-0.43047019024427502</v>
      </c>
      <c r="E127" s="24">
        <v>3.4130548449342002</v>
      </c>
    </row>
    <row r="128" spans="1:5" x14ac:dyDescent="0.4">
      <c r="A128" s="1">
        <v>42916</v>
      </c>
      <c r="B128" s="24">
        <v>4.0705432881953501</v>
      </c>
      <c r="C128" s="24">
        <v>0.28759230129200603</v>
      </c>
      <c r="D128" s="24">
        <v>-0.25030631945586101</v>
      </c>
      <c r="E128" s="24">
        <v>4.3208496076512102</v>
      </c>
    </row>
    <row r="129" spans="1:5" x14ac:dyDescent="0.4">
      <c r="A129" s="1">
        <v>42947</v>
      </c>
      <c r="B129" s="24">
        <v>4.7460222886450403</v>
      </c>
      <c r="C129" s="24">
        <v>0.288399276584824</v>
      </c>
      <c r="D129" s="24">
        <v>-0.23501757137652299</v>
      </c>
      <c r="E129" s="24">
        <v>4.9810398600215597</v>
      </c>
    </row>
    <row r="130" spans="1:5" x14ac:dyDescent="0.4">
      <c r="A130" s="1">
        <v>42978</v>
      </c>
      <c r="B130" s="24">
        <v>4.3450110223065499</v>
      </c>
      <c r="C130" s="24">
        <v>0.29237831065401898</v>
      </c>
      <c r="D130" s="24">
        <v>-0.22605525360430501</v>
      </c>
      <c r="E130" s="24">
        <v>4.5710662759108498</v>
      </c>
    </row>
    <row r="131" spans="1:5" x14ac:dyDescent="0.4">
      <c r="A131" s="1">
        <v>43008</v>
      </c>
      <c r="B131" s="24">
        <v>4.1169609133177403</v>
      </c>
      <c r="C131" s="24">
        <v>0.30040447494823003</v>
      </c>
      <c r="D131" s="24">
        <v>-0.194882761140174</v>
      </c>
      <c r="E131" s="24">
        <v>4.3118436744579203</v>
      </c>
    </row>
    <row r="132" spans="1:5" x14ac:dyDescent="0.4">
      <c r="A132" s="1">
        <v>43039</v>
      </c>
      <c r="B132" s="24">
        <v>3.8160376260601501</v>
      </c>
      <c r="C132" s="24">
        <v>0.30639878764954898</v>
      </c>
      <c r="D132" s="24">
        <v>-0.16381960551758901</v>
      </c>
      <c r="E132" s="24">
        <v>3.9798572315777401</v>
      </c>
    </row>
    <row r="133" spans="1:5" x14ac:dyDescent="0.4">
      <c r="A133" s="1">
        <v>43069</v>
      </c>
      <c r="B133" s="24">
        <v>3.6361071573179</v>
      </c>
      <c r="C133" s="24">
        <v>0.31285985582161502</v>
      </c>
      <c r="D133" s="24">
        <v>-0.139286272195983</v>
      </c>
      <c r="E133" s="24">
        <v>3.7753934295138798</v>
      </c>
    </row>
    <row r="134" spans="1:5" x14ac:dyDescent="0.4">
      <c r="A134" s="1">
        <v>43100</v>
      </c>
      <c r="B134" s="24">
        <v>3.41261175849605</v>
      </c>
      <c r="C134" s="24">
        <v>0.31580651037931901</v>
      </c>
      <c r="D134" s="24">
        <v>-0.135811999048947</v>
      </c>
      <c r="E134" s="24">
        <v>3.54842375754499</v>
      </c>
    </row>
    <row r="135" spans="1:5" x14ac:dyDescent="0.4">
      <c r="A135" s="1">
        <v>43131</v>
      </c>
      <c r="B135" s="24">
        <v>3.2619895379429802</v>
      </c>
      <c r="C135" s="24">
        <v>0.319184958690722</v>
      </c>
      <c r="D135" s="24">
        <v>-0.13800312263498299</v>
      </c>
      <c r="E135" s="24">
        <v>3.39999266057796</v>
      </c>
    </row>
    <row r="136" spans="1:5" x14ac:dyDescent="0.4">
      <c r="A136" s="1">
        <v>43159</v>
      </c>
      <c r="B136" s="24">
        <v>3.26024587792817</v>
      </c>
      <c r="C136" s="24">
        <v>0.31587991008850702</v>
      </c>
      <c r="D136" s="24">
        <v>-0.13023918819508001</v>
      </c>
      <c r="E136" s="24">
        <v>3.39048506612325</v>
      </c>
    </row>
    <row r="137" spans="1:5" x14ac:dyDescent="0.4">
      <c r="A137" s="1">
        <v>43190</v>
      </c>
      <c r="B137" s="24">
        <v>3.3836966763645502</v>
      </c>
      <c r="C137" s="24">
        <v>0.31312238441509899</v>
      </c>
      <c r="D137" s="24">
        <v>-0.103311103467917</v>
      </c>
      <c r="E137" s="24">
        <v>3.4870077798324601</v>
      </c>
    </row>
    <row r="138" spans="1:5" x14ac:dyDescent="0.4">
      <c r="A138" s="1">
        <v>43220</v>
      </c>
      <c r="B138" s="24">
        <v>2.8844773072424101</v>
      </c>
      <c r="C138" s="24">
        <v>0.275623774686586</v>
      </c>
      <c r="D138" s="24">
        <v>-9.2751542345687804E-2</v>
      </c>
      <c r="E138" s="24">
        <v>2.9772288495881001</v>
      </c>
    </row>
    <row r="139" spans="1:5" x14ac:dyDescent="0.4">
      <c r="A139" s="1">
        <v>43251</v>
      </c>
      <c r="B139" s="24">
        <v>2.2552445215246402</v>
      </c>
      <c r="C139" s="24">
        <v>0.23905501848851099</v>
      </c>
      <c r="D139" s="24">
        <v>-0.144852923796017</v>
      </c>
      <c r="E139" s="24">
        <v>2.4000974453206601</v>
      </c>
    </row>
    <row r="140" spans="1:5" x14ac:dyDescent="0.4">
      <c r="A140" s="1">
        <v>43281</v>
      </c>
      <c r="B140" s="24">
        <v>1.54727267928331</v>
      </c>
      <c r="C140" s="24">
        <v>0.19390039609208101</v>
      </c>
      <c r="D140" s="24">
        <v>-0.214763053425711</v>
      </c>
      <c r="E140" s="24">
        <v>1.7620357327090299</v>
      </c>
    </row>
    <row r="141" spans="1:5" x14ac:dyDescent="0.4">
      <c r="A141" s="1">
        <v>43312</v>
      </c>
      <c r="B141" s="24">
        <v>1.4203119688941599</v>
      </c>
      <c r="C141" s="24">
        <v>0.17945793940055599</v>
      </c>
      <c r="D141" s="24">
        <v>-0.27128029960914202</v>
      </c>
      <c r="E141" s="24">
        <v>1.6915922685033</v>
      </c>
    </row>
    <row r="142" spans="1:5" x14ac:dyDescent="0.4">
      <c r="A142" s="1">
        <v>43343</v>
      </c>
      <c r="B142" s="24">
        <v>1.2680119198683399</v>
      </c>
      <c r="C142" s="24">
        <v>0.17683637492851201</v>
      </c>
      <c r="D142" s="24">
        <v>-0.29039033231167999</v>
      </c>
      <c r="E142" s="24">
        <v>1.55840225218002</v>
      </c>
    </row>
    <row r="143" spans="1:5" x14ac:dyDescent="0.4">
      <c r="A143" s="1">
        <v>43373</v>
      </c>
      <c r="B143" s="24">
        <v>1.11080919986888</v>
      </c>
      <c r="C143" s="24">
        <v>0.186996299291809</v>
      </c>
      <c r="D143" s="24">
        <v>-0.32223179566548799</v>
      </c>
      <c r="E143" s="24">
        <v>1.4330409955343699</v>
      </c>
    </row>
    <row r="144" spans="1:5" x14ac:dyDescent="0.4">
      <c r="A144" s="1">
        <v>43404</v>
      </c>
      <c r="B144" s="24">
        <v>0.95881582986171399</v>
      </c>
      <c r="C144" s="24">
        <v>0.18558830424435999</v>
      </c>
      <c r="D144" s="24">
        <v>-0.34452154684809499</v>
      </c>
      <c r="E144" s="24">
        <v>1.30333737670981</v>
      </c>
    </row>
    <row r="145" spans="1:5" x14ac:dyDescent="0.4">
      <c r="A145" s="1">
        <v>43434</v>
      </c>
      <c r="B145" s="24">
        <v>0.91245202616231802</v>
      </c>
      <c r="C145" s="24">
        <v>0.15903639864479699</v>
      </c>
      <c r="D145" s="24">
        <v>-0.37070017892009099</v>
      </c>
      <c r="E145" s="24">
        <v>1.28315220508241</v>
      </c>
    </row>
    <row r="146" spans="1:5" x14ac:dyDescent="0.4">
      <c r="A146" s="1">
        <v>43465</v>
      </c>
      <c r="B146" s="24">
        <v>0.87099089343656999</v>
      </c>
      <c r="C146" s="24">
        <v>0.12889180965848299</v>
      </c>
      <c r="D146" s="24">
        <v>-0.38682502669762397</v>
      </c>
      <c r="E146" s="24">
        <v>1.2578159201341901</v>
      </c>
    </row>
    <row r="147" spans="1:5" x14ac:dyDescent="0.4">
      <c r="A147" s="1">
        <v>43496</v>
      </c>
      <c r="B147" s="24">
        <v>0.86597944642487501</v>
      </c>
      <c r="C147" s="24">
        <v>0.114344058433114</v>
      </c>
      <c r="D147" s="24">
        <v>-0.40952594648768698</v>
      </c>
      <c r="E147" s="24">
        <v>1.2755053929125599</v>
      </c>
    </row>
    <row r="148" spans="1:5" x14ac:dyDescent="0.4">
      <c r="A148" s="1">
        <v>43524</v>
      </c>
      <c r="B148" s="24">
        <v>0.79233875663715803</v>
      </c>
      <c r="C148" s="24">
        <v>0.111560872844631</v>
      </c>
      <c r="D148" s="24">
        <v>-0.400150811828688</v>
      </c>
      <c r="E148" s="24">
        <v>1.1924895684658501</v>
      </c>
    </row>
    <row r="149" spans="1:5" x14ac:dyDescent="0.4">
      <c r="A149" s="1">
        <v>43555</v>
      </c>
      <c r="B149" s="24">
        <v>0.74133857040488105</v>
      </c>
      <c r="C149" s="24">
        <v>0.105271337448931</v>
      </c>
      <c r="D149" s="24">
        <v>-0.41528565673040602</v>
      </c>
      <c r="E149" s="24">
        <v>1.15662422713529</v>
      </c>
    </row>
    <row r="150" spans="1:5" x14ac:dyDescent="0.4">
      <c r="A150" s="1">
        <v>43585</v>
      </c>
      <c r="B150" s="24">
        <v>0.65113766843322396</v>
      </c>
      <c r="C150" s="24">
        <v>6.9813272444087596E-2</v>
      </c>
      <c r="D150" s="24">
        <v>-0.51797174180245897</v>
      </c>
      <c r="E150" s="24">
        <v>1.16910941023568</v>
      </c>
    </row>
    <row r="151" spans="1:5" x14ac:dyDescent="0.4">
      <c r="A151" s="1">
        <v>43616</v>
      </c>
      <c r="B151" s="24">
        <v>0.59357424086182398</v>
      </c>
      <c r="C151" s="24">
        <v>1.22741504796261E-2</v>
      </c>
      <c r="D151" s="24">
        <v>-0.77208507985220898</v>
      </c>
      <c r="E151" s="24">
        <v>1.36565932071403</v>
      </c>
    </row>
    <row r="152" spans="1:5" x14ac:dyDescent="0.4">
      <c r="A152" s="1">
        <v>43646</v>
      </c>
      <c r="B152" s="24">
        <v>0.52890147822870603</v>
      </c>
      <c r="C152" s="24">
        <v>-4.1758621677617201E-2</v>
      </c>
      <c r="D152" s="24">
        <v>-0.996432159014916</v>
      </c>
      <c r="E152" s="24">
        <v>1.5253336372436199</v>
      </c>
    </row>
    <row r="153" spans="1:5" x14ac:dyDescent="0.4">
      <c r="A153" s="1">
        <v>43677</v>
      </c>
      <c r="B153" s="24">
        <v>0.50897128618931597</v>
      </c>
      <c r="C153" s="24">
        <v>-6.8899664406644995E-2</v>
      </c>
      <c r="D153" s="24">
        <v>-1.1755805638188599</v>
      </c>
      <c r="E153" s="24">
        <v>1.68455185000818</v>
      </c>
    </row>
    <row r="154" spans="1:5" x14ac:dyDescent="0.4">
      <c r="A154" s="1">
        <v>43708</v>
      </c>
      <c r="B154" s="24">
        <v>0.48924199653420303</v>
      </c>
      <c r="C154" s="24">
        <v>-9.3277244350667907E-2</v>
      </c>
      <c r="D154" s="24">
        <v>-1.19942974683545</v>
      </c>
      <c r="E154" s="24">
        <v>1.6886717433696501</v>
      </c>
    </row>
    <row r="155" spans="1:5" x14ac:dyDescent="0.4">
      <c r="A155" s="1">
        <v>43738</v>
      </c>
      <c r="B155" s="24">
        <v>0.44135682693537298</v>
      </c>
      <c r="C155" s="24">
        <v>-0.122488602774929</v>
      </c>
      <c r="D155" s="24">
        <v>-1.2283640794468</v>
      </c>
      <c r="E155" s="24">
        <v>1.6697209063821701</v>
      </c>
    </row>
    <row r="156" spans="1:5" x14ac:dyDescent="0.4">
      <c r="A156" s="1">
        <v>43769</v>
      </c>
      <c r="B156" s="24">
        <v>0.40866362441362297</v>
      </c>
      <c r="C156" s="24">
        <v>-0.15548449552812499</v>
      </c>
      <c r="D156" s="24">
        <v>-1.34805084896978</v>
      </c>
      <c r="E156" s="24">
        <v>1.7567144733833999</v>
      </c>
    </row>
    <row r="157" spans="1:5" x14ac:dyDescent="0.4">
      <c r="A157" s="1">
        <v>43799</v>
      </c>
      <c r="B157" s="24">
        <v>0.42396412206794898</v>
      </c>
      <c r="C157" s="24">
        <v>-0.17839734469149701</v>
      </c>
      <c r="D157" s="24">
        <v>-1.44363974316796</v>
      </c>
      <c r="E157" s="24">
        <v>1.8676038652359099</v>
      </c>
    </row>
    <row r="158" spans="1:5" x14ac:dyDescent="0.4">
      <c r="A158" s="1">
        <v>43830</v>
      </c>
      <c r="B158" s="24">
        <v>0.40146112447488103</v>
      </c>
      <c r="C158" s="24">
        <v>-0.18187024063260199</v>
      </c>
      <c r="D158" s="24">
        <v>-1.4130262623873699</v>
      </c>
      <c r="E158" s="24">
        <v>1.81448738686225</v>
      </c>
    </row>
    <row r="159" spans="1:5" x14ac:dyDescent="0.4">
      <c r="A159" s="1">
        <v>43861</v>
      </c>
      <c r="B159" s="24">
        <v>0.35822430495038499</v>
      </c>
      <c r="C159" s="24">
        <v>-0.18113353785544301</v>
      </c>
      <c r="D159" s="24">
        <v>-1.24930777888358</v>
      </c>
      <c r="E159" s="24">
        <v>1.60753208383396</v>
      </c>
    </row>
    <row r="160" spans="1:5" x14ac:dyDescent="0.4">
      <c r="A160" s="1">
        <v>43890</v>
      </c>
      <c r="B160" s="24">
        <v>0.30779609825299598</v>
      </c>
      <c r="C160" s="24">
        <v>-0.16837909890501199</v>
      </c>
      <c r="D160" s="24">
        <v>-1.1231054039048101</v>
      </c>
      <c r="E160" s="24">
        <v>1.4309015021578</v>
      </c>
    </row>
    <row r="161" spans="1:5" x14ac:dyDescent="0.4">
      <c r="A161" s="1">
        <v>43921</v>
      </c>
      <c r="B161" s="24">
        <v>0.32753719224198002</v>
      </c>
      <c r="C161" s="24">
        <v>-0.15456315112386501</v>
      </c>
      <c r="D161" s="24">
        <v>-1.04757677539726</v>
      </c>
      <c r="E161" s="24">
        <v>1.3751139676392401</v>
      </c>
    </row>
    <row r="162" spans="1:5" x14ac:dyDescent="0.4">
      <c r="A162" s="1">
        <v>43951</v>
      </c>
      <c r="B162" s="24">
        <v>0.53944398867221899</v>
      </c>
      <c r="C162" s="24">
        <v>-0.120951544419657</v>
      </c>
      <c r="D162" s="24">
        <v>-1.03230010083656</v>
      </c>
      <c r="E162" s="24">
        <v>1.57174408950878</v>
      </c>
    </row>
    <row r="163" spans="1:5" x14ac:dyDescent="0.4">
      <c r="A163" s="1">
        <v>43982</v>
      </c>
      <c r="B163" s="24">
        <v>0.82167109288002405</v>
      </c>
      <c r="C163" s="24">
        <v>-9.2014749674146995E-2</v>
      </c>
      <c r="D163" s="24">
        <v>-1.0119544847002699</v>
      </c>
      <c r="E163" s="24">
        <v>1.8336255775803001</v>
      </c>
    </row>
    <row r="164" spans="1:5" x14ac:dyDescent="0.4">
      <c r="A164" s="1">
        <v>44012</v>
      </c>
      <c r="B164" s="24">
        <v>1.0296668440968699</v>
      </c>
      <c r="C164" s="24">
        <v>-8.8373624129427106E-2</v>
      </c>
      <c r="D164" s="24">
        <v>-1.11557675538394</v>
      </c>
      <c r="E164" s="24">
        <v>2.1452435994808101</v>
      </c>
    </row>
    <row r="165" spans="1:5" x14ac:dyDescent="0.4">
      <c r="A165" s="1">
        <v>44043</v>
      </c>
      <c r="B165" s="24">
        <v>1.08478444271498</v>
      </c>
      <c r="C165" s="24">
        <v>-0.101727937696861</v>
      </c>
      <c r="D165" s="24">
        <v>-1.11057551201949</v>
      </c>
      <c r="E165" s="24">
        <v>2.1953599547344602</v>
      </c>
    </row>
    <row r="166" spans="1:5" x14ac:dyDescent="0.4">
      <c r="A166" s="1">
        <v>44074</v>
      </c>
      <c r="B166" s="24">
        <v>1.07039731227512</v>
      </c>
      <c r="C166" s="24">
        <v>-8.7663862495074796E-2</v>
      </c>
      <c r="D166" s="24">
        <v>-1.1159470347466101</v>
      </c>
      <c r="E166" s="24">
        <v>2.1863443470217399</v>
      </c>
    </row>
    <row r="167" spans="1:5" x14ac:dyDescent="0.4">
      <c r="A167" s="1">
        <v>44104</v>
      </c>
      <c r="B167" s="24">
        <v>1.1068124307662599</v>
      </c>
      <c r="C167" s="24">
        <v>-6.5473725200157498E-2</v>
      </c>
      <c r="D167" s="24">
        <v>-1.09637904330481</v>
      </c>
      <c r="E167" s="24">
        <v>2.2031914740710601</v>
      </c>
    </row>
    <row r="168" spans="1:5" x14ac:dyDescent="0.4">
      <c r="A168" s="1">
        <v>44135</v>
      </c>
      <c r="B168" s="24">
        <v>1.21897751460601</v>
      </c>
      <c r="C168" s="24">
        <v>-2.3678638773735699E-2</v>
      </c>
      <c r="D168" s="24">
        <v>-1.1079666646345101</v>
      </c>
      <c r="E168" s="24">
        <v>2.3269441792405301</v>
      </c>
    </row>
    <row r="169" spans="1:5" x14ac:dyDescent="0.4">
      <c r="A169" s="1">
        <v>44165</v>
      </c>
      <c r="B169" s="24">
        <v>1.40825402101175</v>
      </c>
      <c r="C169" s="24">
        <v>3.5162331376562802E-3</v>
      </c>
      <c r="D169" s="24">
        <v>-1.0729223040823199</v>
      </c>
      <c r="E169" s="24">
        <v>2.4811763250940801</v>
      </c>
    </row>
    <row r="170" spans="1:5" x14ac:dyDescent="0.4">
      <c r="A170" s="1">
        <v>44196</v>
      </c>
      <c r="B170" s="24">
        <v>1.60121853748848</v>
      </c>
      <c r="C170" s="24">
        <v>3.2213028583963098E-2</v>
      </c>
      <c r="D170" s="24">
        <v>-1.0143781993866601</v>
      </c>
      <c r="E170" s="24">
        <v>2.61559673687514</v>
      </c>
    </row>
    <row r="171" spans="1:5" x14ac:dyDescent="0.4">
      <c r="A171" s="1">
        <v>44227</v>
      </c>
      <c r="B171" s="24">
        <v>1.6791455387740599</v>
      </c>
      <c r="C171" s="24">
        <v>4.2832653003196698E-2</v>
      </c>
      <c r="D171" s="24">
        <v>-0.97305004202076695</v>
      </c>
      <c r="E171" s="24">
        <v>2.6521955807948299</v>
      </c>
    </row>
    <row r="172" spans="1:5" x14ac:dyDescent="0.4">
      <c r="A172" s="1">
        <v>44255</v>
      </c>
      <c r="B172" s="24">
        <v>1.66885065738875</v>
      </c>
      <c r="C172" s="24">
        <v>4.2832653003196698E-2</v>
      </c>
      <c r="D172" s="24">
        <v>-0.97305004202076695</v>
      </c>
      <c r="E172" s="24">
        <v>2.64190069940951</v>
      </c>
    </row>
    <row r="173" spans="1:5" x14ac:dyDescent="0.4">
      <c r="A173" s="1">
        <v>44286</v>
      </c>
      <c r="B173" s="24">
        <v>1.6155031708398</v>
      </c>
      <c r="C173" s="24">
        <v>4.8759907928133901E-2</v>
      </c>
      <c r="D173" s="24">
        <v>-0.96999426175428705</v>
      </c>
      <c r="E173" s="24">
        <v>2.5854974325940798</v>
      </c>
    </row>
    <row r="174" spans="1:5" x14ac:dyDescent="0.4">
      <c r="A174" s="1">
        <v>44316</v>
      </c>
      <c r="B174" s="24">
        <v>1.8170534121461701</v>
      </c>
      <c r="C174" s="24">
        <v>0.12936183443513</v>
      </c>
      <c r="D174" s="24">
        <v>-0.77098517116290999</v>
      </c>
      <c r="E174" s="24">
        <v>2.5880385833090802</v>
      </c>
    </row>
    <row r="175" spans="1:5" x14ac:dyDescent="0.4">
      <c r="A175" s="1">
        <v>44347</v>
      </c>
      <c r="B175" s="24">
        <v>2.1954764083964302</v>
      </c>
      <c r="C175" s="24">
        <v>0.29256907705951102</v>
      </c>
      <c r="D175" s="24">
        <v>-0.56453588811366595</v>
      </c>
      <c r="E175" s="24">
        <v>2.7600122965101002</v>
      </c>
    </row>
    <row r="176" spans="1:5" x14ac:dyDescent="0.4">
      <c r="A176" s="1">
        <v>44377</v>
      </c>
      <c r="B176" s="24">
        <v>2.64791394458492</v>
      </c>
      <c r="C176" s="24">
        <v>0.44984906475895398</v>
      </c>
      <c r="D176" s="24">
        <v>-0.35975104898035898</v>
      </c>
      <c r="E176" s="24">
        <v>3.0076649935652799</v>
      </c>
    </row>
    <row r="177" spans="1:5" x14ac:dyDescent="0.4">
      <c r="A177" s="1">
        <v>44408</v>
      </c>
      <c r="B177" s="24">
        <v>2.8423109574994498</v>
      </c>
      <c r="C177" s="24">
        <v>0.52359367580083604</v>
      </c>
      <c r="D177" s="24">
        <v>-0.36513714076333698</v>
      </c>
      <c r="E177" s="24">
        <v>3.2074480982627902</v>
      </c>
    </row>
    <row r="178" spans="1:5" x14ac:dyDescent="0.4">
      <c r="A178" s="1">
        <v>44439</v>
      </c>
      <c r="B178" s="24">
        <v>2.9631716196689202</v>
      </c>
      <c r="C178" s="24">
        <v>0.51015012854203401</v>
      </c>
      <c r="D178" s="24">
        <v>-0.37386425358164099</v>
      </c>
      <c r="E178" s="24">
        <v>3.3370358732505601</v>
      </c>
    </row>
    <row r="179" spans="1:5" x14ac:dyDescent="0.4">
      <c r="A179" s="1">
        <v>44469</v>
      </c>
      <c r="B179" s="24">
        <v>3.2201368030515498</v>
      </c>
      <c r="C179" s="24">
        <v>0.494832613943815</v>
      </c>
      <c r="D179" s="24">
        <v>-0.37680499905829101</v>
      </c>
      <c r="E179" s="24">
        <v>3.59694180210984</v>
      </c>
    </row>
    <row r="180" spans="1:5" x14ac:dyDescent="0.4">
      <c r="A180" s="1">
        <v>44500</v>
      </c>
      <c r="B180" s="24">
        <v>3.1473084369550599</v>
      </c>
      <c r="C180" s="24">
        <v>0.45669842775332298</v>
      </c>
      <c r="D180" s="24">
        <v>-0.358740923109859</v>
      </c>
      <c r="E180" s="24">
        <v>3.5060493600649201</v>
      </c>
    </row>
    <row r="181" spans="1:5" x14ac:dyDescent="0.4">
      <c r="A181" s="1">
        <v>44530</v>
      </c>
      <c r="B181" s="24">
        <v>3.0511572103301798</v>
      </c>
      <c r="C181" s="24">
        <v>0.396057972427726</v>
      </c>
      <c r="D181" s="24">
        <v>-0.41190068396590801</v>
      </c>
      <c r="E181" s="24">
        <v>3.4630578942960901</v>
      </c>
    </row>
    <row r="182" spans="1:5" x14ac:dyDescent="0.4">
      <c r="A182" s="1">
        <v>44561</v>
      </c>
      <c r="B182" s="24">
        <v>2.78793952771756</v>
      </c>
      <c r="C182" s="24">
        <v>0.33705268612496597</v>
      </c>
      <c r="D182" s="24">
        <v>-0.47223814851415302</v>
      </c>
      <c r="E182" s="24">
        <v>3.2601776762317098</v>
      </c>
    </row>
    <row r="183" spans="1:5" x14ac:dyDescent="0.4">
      <c r="A183" s="1">
        <v>44592</v>
      </c>
      <c r="B183" s="24">
        <v>2.8576581900027</v>
      </c>
      <c r="C183" s="24">
        <v>0.30724851436623801</v>
      </c>
      <c r="D183" s="24">
        <v>-0.53936281389609197</v>
      </c>
      <c r="E183" s="24">
        <v>3.3970210038987898</v>
      </c>
    </row>
    <row r="184" spans="1:5" x14ac:dyDescent="0.4">
      <c r="A184" s="1">
        <v>44620</v>
      </c>
      <c r="B184" s="24">
        <v>2.8451918968842902</v>
      </c>
      <c r="C184" s="24">
        <v>0.31152310425543001</v>
      </c>
      <c r="D184" s="24">
        <v>-0.54741710622876005</v>
      </c>
      <c r="E184" s="24">
        <v>3.39260900311305</v>
      </c>
    </row>
    <row r="185" spans="1:5" x14ac:dyDescent="0.4">
      <c r="A185" s="1">
        <v>44651</v>
      </c>
      <c r="B185" s="24">
        <v>2.7278808489383</v>
      </c>
      <c r="C185" s="24">
        <v>0.311749213069686</v>
      </c>
      <c r="D185" s="24">
        <v>-0.57721186171285499</v>
      </c>
      <c r="E185" s="24">
        <v>3.3050927106511598</v>
      </c>
    </row>
    <row r="186" spans="1:5" x14ac:dyDescent="0.4">
      <c r="A186" s="1">
        <v>44681</v>
      </c>
      <c r="B186" s="24">
        <v>2.2296421862490701</v>
      </c>
      <c r="C186" s="24">
        <v>0.24134539979699801</v>
      </c>
      <c r="D186" s="24">
        <v>-0.65184854994691899</v>
      </c>
      <c r="E186" s="24">
        <v>2.8814907361959801</v>
      </c>
    </row>
    <row r="187" spans="1:5" x14ac:dyDescent="0.4">
      <c r="A187" s="1">
        <v>44712</v>
      </c>
      <c r="B187" s="24">
        <v>1.81876192391097</v>
      </c>
      <c r="C187" s="24">
        <v>0.164994590816228</v>
      </c>
      <c r="D187" s="24">
        <v>-0.76986005206732799</v>
      </c>
      <c r="E187" s="24">
        <v>2.58862197597829</v>
      </c>
    </row>
    <row r="188" spans="1:5" x14ac:dyDescent="0.4">
      <c r="A188" s="1">
        <v>44742</v>
      </c>
      <c r="B188" s="24">
        <v>1.50139008102341</v>
      </c>
      <c r="C188" s="24">
        <v>9.0406610497981807E-2</v>
      </c>
      <c r="D188" s="24">
        <v>-0.83850647602416095</v>
      </c>
      <c r="E188" s="24">
        <v>2.3398965570475698</v>
      </c>
    </row>
    <row r="189" spans="1:5" x14ac:dyDescent="0.4">
      <c r="A189" s="1">
        <v>44773</v>
      </c>
      <c r="B189" s="24">
        <v>1.5654353811436701</v>
      </c>
      <c r="C189" s="24">
        <v>8.1489695505710794E-2</v>
      </c>
      <c r="D189" s="24">
        <v>-0.85917003038219097</v>
      </c>
      <c r="E189" s="24">
        <v>2.4246054115258602</v>
      </c>
    </row>
    <row r="190" spans="1:5" x14ac:dyDescent="0.4">
      <c r="A190" s="1">
        <v>44804</v>
      </c>
      <c r="B190" s="24">
        <v>1.4037958917156299</v>
      </c>
      <c r="C190" s="24">
        <v>5.1278485181722601E-2</v>
      </c>
      <c r="D190" s="24">
        <v>-0.89594386119671299</v>
      </c>
      <c r="E190" s="24">
        <v>2.29973975291235</v>
      </c>
    </row>
    <row r="191" spans="1:5" x14ac:dyDescent="0.4">
      <c r="A191" s="1">
        <v>44834</v>
      </c>
      <c r="B191" s="24">
        <v>1.2352843919063901</v>
      </c>
      <c r="C191" s="24">
        <v>2.0536948123598599E-2</v>
      </c>
      <c r="D191" s="24">
        <v>-0.97028006712100301</v>
      </c>
      <c r="E191" s="24">
        <v>2.2055644590273902</v>
      </c>
    </row>
    <row r="192" spans="1:5" x14ac:dyDescent="0.4">
      <c r="A192" s="1">
        <v>44865</v>
      </c>
      <c r="B192" s="24">
        <v>1.07028190934589</v>
      </c>
      <c r="C192" s="24">
        <v>-1.5042384562481E-2</v>
      </c>
      <c r="D192" s="24">
        <v>-1.0138853450349199</v>
      </c>
      <c r="E192" s="24">
        <v>2.0841672543808101</v>
      </c>
    </row>
    <row r="193" spans="1:5" x14ac:dyDescent="0.4">
      <c r="A193" s="1">
        <v>44895</v>
      </c>
      <c r="B193" s="24">
        <v>1.0505659000576599</v>
      </c>
      <c r="C193" s="24">
        <v>-3.15987462266233E-2</v>
      </c>
      <c r="D193" s="24">
        <v>-0.99200798275929503</v>
      </c>
      <c r="E193" s="24">
        <v>2.04257388281696</v>
      </c>
    </row>
    <row r="194" spans="1:5" x14ac:dyDescent="0.4">
      <c r="A194" s="1">
        <v>44926</v>
      </c>
      <c r="B194" s="24">
        <v>1.01837648065631</v>
      </c>
      <c r="C194" s="24">
        <v>-5.5553260274212597E-2</v>
      </c>
      <c r="D194" s="24">
        <v>-0.91857054396009696</v>
      </c>
      <c r="E194" s="24">
        <v>1.9369470246164</v>
      </c>
    </row>
    <row r="195" spans="1:5" x14ac:dyDescent="0.4">
      <c r="A195" s="1">
        <v>44957</v>
      </c>
      <c r="B195" s="24">
        <v>0.98218851574164401</v>
      </c>
      <c r="C195" s="24">
        <v>-6.9647514413282097E-2</v>
      </c>
      <c r="D195" s="24">
        <v>-0.87900497002010602</v>
      </c>
      <c r="E195" s="24">
        <v>1.86119348576175</v>
      </c>
    </row>
    <row r="196" spans="1:5" x14ac:dyDescent="0.4">
      <c r="A196" s="1">
        <v>44985</v>
      </c>
      <c r="B196" s="24">
        <v>0.92838501536771101</v>
      </c>
      <c r="C196" s="24">
        <v>-8.1179610795763704E-2</v>
      </c>
      <c r="D196" s="24">
        <v>-0.83738265359415198</v>
      </c>
      <c r="E196" s="24">
        <v>1.76576766896186</v>
      </c>
    </row>
    <row r="197" spans="1:5" x14ac:dyDescent="0.4">
      <c r="A197" s="1">
        <v>45016</v>
      </c>
      <c r="B197" s="24">
        <v>0.89681118396166304</v>
      </c>
      <c r="C197" s="24">
        <v>-8.3603859885772097E-2</v>
      </c>
      <c r="D197" s="24">
        <v>-0.83337053589403598</v>
      </c>
      <c r="E197" s="24">
        <v>1.7301817198556999</v>
      </c>
    </row>
    <row r="198" spans="1:5" x14ac:dyDescent="0.4">
      <c r="A198" s="1">
        <v>45046</v>
      </c>
      <c r="B198" s="24">
        <v>0.87785537603704</v>
      </c>
      <c r="C198" s="24">
        <v>-7.6161795819532793E-2</v>
      </c>
      <c r="D198" s="24">
        <v>-0.86139037238043303</v>
      </c>
      <c r="E198" s="24">
        <v>1.7392457484174699</v>
      </c>
    </row>
    <row r="199" spans="1:5" x14ac:dyDescent="0.4">
      <c r="A199" s="1">
        <v>45077</v>
      </c>
      <c r="B199" s="24">
        <v>0.97503532580548502</v>
      </c>
      <c r="C199" s="24">
        <v>-5.7260241188282303E-2</v>
      </c>
      <c r="D199" s="24">
        <v>-0.94449656577283603</v>
      </c>
      <c r="E199" s="24">
        <v>1.9195318915783199</v>
      </c>
    </row>
    <row r="200" spans="1:5" x14ac:dyDescent="0.4">
      <c r="A200" s="1">
        <v>45107</v>
      </c>
      <c r="B200" s="24">
        <v>1.0806673624774199</v>
      </c>
      <c r="C200" s="24">
        <v>-3.8733073014431199E-2</v>
      </c>
      <c r="D200" s="24">
        <v>-1.04591168468814</v>
      </c>
      <c r="E200" s="24">
        <v>2.1265790471655501</v>
      </c>
    </row>
    <row r="201" spans="1:5" x14ac:dyDescent="0.4">
      <c r="A201" s="1">
        <v>45138</v>
      </c>
      <c r="B201" s="24">
        <v>1.16901344165523</v>
      </c>
      <c r="C201" s="24">
        <v>-3.0415705679651999E-2</v>
      </c>
      <c r="D201" s="24">
        <v>-1.10536007574935</v>
      </c>
      <c r="E201" s="24">
        <v>2.2743735174045798</v>
      </c>
    </row>
    <row r="202" spans="1:5" x14ac:dyDescent="0.4">
      <c r="A202" s="1">
        <v>45169</v>
      </c>
      <c r="B202" s="24">
        <v>1.1440472969176401</v>
      </c>
      <c r="C202" s="24">
        <v>-4.8042567498774197E-2</v>
      </c>
      <c r="D202" s="24">
        <v>-1.04145115630075</v>
      </c>
      <c r="E202" s="24">
        <v>2.1854984532183801</v>
      </c>
    </row>
    <row r="203" spans="1:5" x14ac:dyDescent="0.4">
      <c r="A203" s="1">
        <v>45199</v>
      </c>
      <c r="B203" s="24">
        <v>1.1208190499256601</v>
      </c>
      <c r="C203" s="24">
        <v>-6.3048033004431001E-2</v>
      </c>
      <c r="D203" s="24">
        <v>-0.94954503596525697</v>
      </c>
      <c r="E203" s="24">
        <v>2.0703640858909198</v>
      </c>
    </row>
    <row r="204" spans="1:5" x14ac:dyDescent="0.4">
      <c r="A204" s="1">
        <v>45230</v>
      </c>
      <c r="B204" s="24">
        <v>1.03210385201595</v>
      </c>
      <c r="C204" s="24">
        <v>-7.0942432998489693E-2</v>
      </c>
      <c r="D204" s="24">
        <v>-0.83813397628993602</v>
      </c>
      <c r="E204" s="24">
        <v>1.87023782830588</v>
      </c>
    </row>
    <row r="205" spans="1:5" x14ac:dyDescent="0.4">
      <c r="A205" s="1">
        <v>45260</v>
      </c>
      <c r="B205" s="24">
        <v>1.0042433093487499</v>
      </c>
      <c r="C205" s="24">
        <v>-6.2312243997914803E-2</v>
      </c>
      <c r="D205" s="24">
        <v>-0.80042188499774203</v>
      </c>
      <c r="E205" s="24">
        <v>1.8046651943465</v>
      </c>
    </row>
    <row r="206" spans="1:5" x14ac:dyDescent="0.4">
      <c r="A206" s="1">
        <v>45291</v>
      </c>
      <c r="B206" s="24">
        <v>0.97476596037448004</v>
      </c>
      <c r="C206" s="24">
        <v>-5.0701772509506499E-2</v>
      </c>
      <c r="D206" s="24">
        <v>-0.77575755864239004</v>
      </c>
      <c r="E206" s="24">
        <v>1.75052351901687</v>
      </c>
    </row>
    <row r="207" spans="1:5" x14ac:dyDescent="0.4">
      <c r="A207" s="1">
        <v>45322</v>
      </c>
      <c r="B207" s="24">
        <v>1.01544349633063</v>
      </c>
      <c r="C207" s="24">
        <v>-4.9104244981539799E-2</v>
      </c>
      <c r="D207" s="24">
        <v>-0.77747159567549395</v>
      </c>
      <c r="E207" s="24">
        <v>1.7929150920061301</v>
      </c>
    </row>
    <row r="208" spans="1:5" x14ac:dyDescent="0.4">
      <c r="A208" s="1">
        <v>45351</v>
      </c>
      <c r="B208" s="24">
        <v>0.98475618291908895</v>
      </c>
      <c r="C208" s="24">
        <v>-4.8898453894929E-2</v>
      </c>
      <c r="D208" s="24">
        <v>-0.77258347613717004</v>
      </c>
      <c r="E208" s="24">
        <v>1.75733965905626</v>
      </c>
    </row>
    <row r="209" spans="1:5" x14ac:dyDescent="0.4">
      <c r="A209" s="1">
        <v>45382</v>
      </c>
      <c r="B209" s="24">
        <v>0.96060119477760797</v>
      </c>
      <c r="C209" s="24">
        <v>-3.6688554949841599E-2</v>
      </c>
      <c r="D209" s="24">
        <v>-0.77120435202582205</v>
      </c>
      <c r="E209" s="24">
        <v>1.7318055468034299</v>
      </c>
    </row>
    <row r="210" spans="1:5" x14ac:dyDescent="0.4">
      <c r="A210" s="1">
        <v>45412</v>
      </c>
      <c r="B210" s="24">
        <v>0.98356069615825104</v>
      </c>
      <c r="C210" s="24">
        <v>-1.4658757612157E-2</v>
      </c>
      <c r="D210" s="24">
        <v>-0.75179625538550998</v>
      </c>
      <c r="E210" s="24">
        <v>1.7353569515437599</v>
      </c>
    </row>
    <row r="211" spans="1:5" x14ac:dyDescent="0.4">
      <c r="A211" s="1">
        <v>45443</v>
      </c>
      <c r="B211" s="24">
        <v>1.05519420126298</v>
      </c>
      <c r="C211" s="24">
        <v>1.03043388978155E-2</v>
      </c>
      <c r="D211" s="24">
        <v>-0.69334932869638399</v>
      </c>
      <c r="E211" s="24">
        <v>1.7485435299593599</v>
      </c>
    </row>
    <row r="212" spans="1:5" x14ac:dyDescent="0.4">
      <c r="A212" s="1">
        <v>45473</v>
      </c>
      <c r="B212" s="24">
        <v>1.11509067755895</v>
      </c>
      <c r="C212" s="24">
        <v>2.0882468910672101E-2</v>
      </c>
      <c r="D212" s="24">
        <v>-0.63005532643110695</v>
      </c>
      <c r="E212" s="24">
        <v>1.7451460039900499</v>
      </c>
    </row>
    <row r="213" spans="1:5" x14ac:dyDescent="0.4">
      <c r="A213" s="1">
        <v>45504</v>
      </c>
      <c r="B213" s="24">
        <v>1.1278726643327901</v>
      </c>
      <c r="C213" s="24">
        <v>2.7345274762213601E-2</v>
      </c>
      <c r="D213" s="24">
        <v>-0.59534442323593095</v>
      </c>
      <c r="E213" s="24">
        <v>1.72321708756873</v>
      </c>
    </row>
    <row r="214" spans="1:5" x14ac:dyDescent="0.4">
      <c r="A214" s="1">
        <v>45535</v>
      </c>
      <c r="B214" s="24">
        <v>1.0748623240616699</v>
      </c>
      <c r="C214" s="24">
        <v>3.1608097807776799E-2</v>
      </c>
      <c r="D214" s="24">
        <v>-0.60282646220984903</v>
      </c>
      <c r="E214" s="24">
        <v>1.67768878627152</v>
      </c>
    </row>
    <row r="215" spans="1:5" x14ac:dyDescent="0.4">
      <c r="A215" s="1">
        <v>45565</v>
      </c>
      <c r="B215" s="24">
        <v>1.0104478850410601</v>
      </c>
      <c r="C215" s="24">
        <v>3.3418686080687501E-2</v>
      </c>
      <c r="D215" s="24">
        <v>-0.61741980880020897</v>
      </c>
      <c r="E215" s="24">
        <v>1.6278676938412699</v>
      </c>
    </row>
    <row r="216" spans="1:5" x14ac:dyDescent="0.4">
      <c r="A216" s="1">
        <v>45596</v>
      </c>
      <c r="B216" s="24">
        <v>0.97385224227135603</v>
      </c>
      <c r="C216" s="24">
        <v>2.75518824208347E-2</v>
      </c>
      <c r="D216" s="24">
        <v>-0.63628818817375099</v>
      </c>
      <c r="E216" s="24">
        <v>1.6101404304451099</v>
      </c>
    </row>
    <row r="217" spans="1:5" x14ac:dyDescent="0.4">
      <c r="A217" s="1">
        <v>45626</v>
      </c>
      <c r="B217" s="24">
        <v>1.0299515506119501</v>
      </c>
      <c r="C217" s="24">
        <v>1.7672281651878102E-2</v>
      </c>
      <c r="D217" s="24">
        <v>-0.62532930705453404</v>
      </c>
      <c r="E217" s="24">
        <v>1.6552808576664799</v>
      </c>
    </row>
    <row r="218" spans="1:5" x14ac:dyDescent="0.4">
      <c r="A218" s="1">
        <v>45657</v>
      </c>
      <c r="B218" s="24">
        <v>1.0961276448898101</v>
      </c>
      <c r="C218" s="24">
        <v>8.7435645044148594E-3</v>
      </c>
      <c r="D218" s="24">
        <v>-0.61541378249297796</v>
      </c>
      <c r="E218" s="24">
        <v>1.71154142738279</v>
      </c>
    </row>
    <row r="219" spans="1:5" x14ac:dyDescent="0.4">
      <c r="A219" s="1">
        <v>45688</v>
      </c>
      <c r="B219" s="24">
        <v>1.13448494291677</v>
      </c>
      <c r="C219" s="24">
        <v>4.9694236705055198E-3</v>
      </c>
      <c r="D219" s="24">
        <v>-0.59099266552888097</v>
      </c>
      <c r="E219" s="24">
        <v>1.72547760844565</v>
      </c>
    </row>
    <row r="220" spans="1:5" x14ac:dyDescent="0.4">
      <c r="A220" s="1">
        <v>45716</v>
      </c>
      <c r="B220" s="24">
        <v>1.12807401800441</v>
      </c>
      <c r="C220" s="24">
        <v>4.9694236705055198E-3</v>
      </c>
      <c r="D220" s="24">
        <v>-0.59441883872937096</v>
      </c>
      <c r="E220" s="24">
        <v>1.7224928567337801</v>
      </c>
    </row>
    <row r="221" spans="1:5" x14ac:dyDescent="0.4">
      <c r="A221" s="1">
        <v>45747</v>
      </c>
      <c r="B221" s="24">
        <v>1.1130780123327599</v>
      </c>
      <c r="C221" s="24">
        <v>2.0955462621596202E-3</v>
      </c>
      <c r="D221" s="24">
        <v>-0.57063738543462605</v>
      </c>
      <c r="E221" s="24">
        <v>1.68371539776739</v>
      </c>
    </row>
    <row r="222" spans="1:5" x14ac:dyDescent="0.4">
      <c r="A222" s="1">
        <v>45777</v>
      </c>
      <c r="B222" s="24">
        <v>1.0651819874597499</v>
      </c>
      <c r="C222" s="24">
        <v>-2.4373795490029E-2</v>
      </c>
      <c r="D222" s="24">
        <v>-0.69765037780565198</v>
      </c>
      <c r="E222" s="24">
        <v>1.7628323652654001</v>
      </c>
    </row>
    <row r="223" spans="1:5" x14ac:dyDescent="0.4">
      <c r="A223" s="1">
        <v>45808</v>
      </c>
      <c r="B223" s="24">
        <v>0.97233854596202496</v>
      </c>
      <c r="C223" s="24">
        <v>-6.0492852639779097E-2</v>
      </c>
      <c r="D223" s="24">
        <v>-0.88999668267613796</v>
      </c>
      <c r="E223" s="24">
        <v>1.86233522863816</v>
      </c>
    </row>
    <row r="224" spans="1:5" x14ac:dyDescent="0.4">
      <c r="A224" s="1">
        <v>45838</v>
      </c>
      <c r="B224" s="24">
        <v>0.89449111013594995</v>
      </c>
      <c r="C224" s="24">
        <v>-9.3738032381183403E-2</v>
      </c>
      <c r="D224" s="24">
        <v>-1.1033866581442</v>
      </c>
      <c r="E224" s="24">
        <v>1.9978777682801501</v>
      </c>
    </row>
    <row r="225" spans="1:5" x14ac:dyDescent="0.4">
      <c r="A225" s="1">
        <v>45869</v>
      </c>
      <c r="B225" s="24">
        <v>0.84954369351124204</v>
      </c>
      <c r="C225" s="24">
        <v>-0.103387747778745</v>
      </c>
      <c r="D225" s="24">
        <v>-1.1679888914251599</v>
      </c>
      <c r="E225" s="24">
        <v>2.0175325849363999</v>
      </c>
    </row>
    <row r="226" spans="1:5" x14ac:dyDescent="0.4">
      <c r="A226" s="1">
        <v>45900</v>
      </c>
      <c r="B226" s="24">
        <v>0.81678087532528798</v>
      </c>
      <c r="C226" s="24">
        <v>-0.101267901119775</v>
      </c>
      <c r="D226" s="24">
        <v>-1.16097417288565</v>
      </c>
      <c r="E226" s="24">
        <v>1.9777550482109401</v>
      </c>
    </row>
    <row r="227" spans="1:5" x14ac:dyDescent="0.4">
      <c r="A227" s="1">
        <v>45930</v>
      </c>
      <c r="B227" s="24">
        <v>0.78164071493555198</v>
      </c>
      <c r="C227" s="24">
        <v>-9.8645270257851303E-2</v>
      </c>
      <c r="D227" s="24">
        <v>-1.0860100156683301</v>
      </c>
      <c r="E227" s="24">
        <v>1.8676507306038901</v>
      </c>
    </row>
    <row r="228" spans="1:5" x14ac:dyDescent="0.4">
      <c r="A228" s="1">
        <v>45961</v>
      </c>
      <c r="B228" s="24">
        <v>0.77256584364941805</v>
      </c>
      <c r="C228" s="24">
        <v>-8.1477100632357802E-2</v>
      </c>
      <c r="D228" s="24">
        <v>-0.96956138997091901</v>
      </c>
      <c r="E228" s="24">
        <v>1.7421272336203399</v>
      </c>
    </row>
    <row r="229" spans="1:5" x14ac:dyDescent="0.4">
      <c r="A229" s="1">
        <v>45991</v>
      </c>
      <c r="B229" s="24">
        <v>0.786634794861784</v>
      </c>
      <c r="C229" s="24">
        <v>-5.4417454869817299E-2</v>
      </c>
      <c r="D229" s="24">
        <v>-0.89318844147885401</v>
      </c>
      <c r="E229" s="24">
        <v>1.67982323634064</v>
      </c>
    </row>
    <row r="230" spans="1:5" x14ac:dyDescent="0.4">
      <c r="A230" s="1">
        <v>46022</v>
      </c>
      <c r="B230" s="24">
        <v>0.80308108827793301</v>
      </c>
      <c r="C230" s="24">
        <v>-2.78605933102305E-2</v>
      </c>
      <c r="D230" s="24">
        <v>-0.88476493166459902</v>
      </c>
      <c r="E230" s="24">
        <v>1.68784601994253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0"/>
  <sheetViews>
    <sheetView workbookViewId="0">
      <selection activeCell="A230" sqref="A230"/>
    </sheetView>
  </sheetViews>
  <sheetFormatPr defaultRowHeight="13.9" x14ac:dyDescent="0.4"/>
  <cols>
    <col min="1" max="1" width="10.46484375" bestFit="1" customWidth="1"/>
  </cols>
  <sheetData>
    <row r="1" spans="1:5" x14ac:dyDescent="0.4">
      <c r="B1" s="2" t="s">
        <v>14</v>
      </c>
      <c r="C1" s="2" t="s">
        <v>13</v>
      </c>
      <c r="D1" s="2" t="s">
        <v>15</v>
      </c>
      <c r="E1" s="2" t="s">
        <v>16</v>
      </c>
    </row>
    <row r="2" spans="1:5" x14ac:dyDescent="0.4">
      <c r="A2" s="1">
        <v>39082</v>
      </c>
      <c r="B2" s="24">
        <v>0.187390950426577</v>
      </c>
      <c r="C2" s="24">
        <v>6.4135174865103894E-2</v>
      </c>
      <c r="D2" s="24">
        <v>-6.5758525754503694E-2</v>
      </c>
      <c r="E2" s="24">
        <v>0.25314947618108002</v>
      </c>
    </row>
    <row r="3" spans="1:5" x14ac:dyDescent="0.4">
      <c r="A3" s="1">
        <v>39113</v>
      </c>
      <c r="B3" s="24">
        <v>0.187390950426577</v>
      </c>
      <c r="C3" s="24">
        <v>6.4135174865103894E-2</v>
      </c>
      <c r="D3" s="24">
        <v>-6.5758525754503694E-2</v>
      </c>
      <c r="E3" s="24">
        <v>0.25314947618108002</v>
      </c>
    </row>
    <row r="4" spans="1:5" x14ac:dyDescent="0.4">
      <c r="A4" s="1">
        <v>39141</v>
      </c>
      <c r="B4" s="24">
        <v>0.187390950426577</v>
      </c>
      <c r="C4" s="24">
        <v>6.4135174865103894E-2</v>
      </c>
      <c r="D4" s="24">
        <v>-6.5758525754503694E-2</v>
      </c>
      <c r="E4" s="24">
        <v>0.25314947618108002</v>
      </c>
    </row>
    <row r="5" spans="1:5" x14ac:dyDescent="0.4">
      <c r="A5" s="1">
        <v>39172</v>
      </c>
      <c r="B5" s="24">
        <v>0.187390950426577</v>
      </c>
      <c r="C5" s="24">
        <v>6.4135174865103894E-2</v>
      </c>
      <c r="D5" s="24">
        <v>-6.5758525754503694E-2</v>
      </c>
      <c r="E5" s="24">
        <v>0.25314947618108002</v>
      </c>
    </row>
    <row r="6" spans="1:5" x14ac:dyDescent="0.4">
      <c r="A6" s="1">
        <v>39202</v>
      </c>
      <c r="B6" s="24">
        <v>0.187390950426577</v>
      </c>
      <c r="C6" s="24">
        <v>6.4135174865103894E-2</v>
      </c>
      <c r="D6" s="24">
        <v>-6.5758525754503694E-2</v>
      </c>
      <c r="E6" s="24">
        <v>0.25314947618108002</v>
      </c>
    </row>
    <row r="7" spans="1:5" x14ac:dyDescent="0.4">
      <c r="A7" s="1">
        <v>39233</v>
      </c>
      <c r="B7" s="24">
        <v>0.187390950426577</v>
      </c>
      <c r="C7" s="24">
        <v>6.4135174865103894E-2</v>
      </c>
      <c r="D7" s="24">
        <v>-6.5758525754503694E-2</v>
      </c>
      <c r="E7" s="24">
        <v>0.25314947618108002</v>
      </c>
    </row>
    <row r="8" spans="1:5" x14ac:dyDescent="0.4">
      <c r="A8" s="1">
        <v>39263</v>
      </c>
      <c r="B8" s="24">
        <v>0.19920961938352499</v>
      </c>
      <c r="C8" s="24">
        <v>7.0162419248004093E-2</v>
      </c>
      <c r="D8" s="24">
        <v>-6.5373748247570501E-2</v>
      </c>
      <c r="E8" s="24">
        <v>0.26458336763109502</v>
      </c>
    </row>
    <row r="9" spans="1:5" x14ac:dyDescent="0.4">
      <c r="A9" s="1">
        <v>39294</v>
      </c>
      <c r="B9" s="24">
        <v>0.21435248819994299</v>
      </c>
      <c r="C9" s="24">
        <v>7.6996329297326693E-2</v>
      </c>
      <c r="D9" s="24">
        <v>-6.43788195220443E-2</v>
      </c>
      <c r="E9" s="24">
        <v>0.27873130772198701</v>
      </c>
    </row>
    <row r="10" spans="1:5" x14ac:dyDescent="0.4">
      <c r="A10" s="1">
        <v>39325</v>
      </c>
      <c r="B10" s="24">
        <v>0.23416247662819001</v>
      </c>
      <c r="C10" s="24">
        <v>8.7275196885215206E-2</v>
      </c>
      <c r="D10" s="24">
        <v>-6.2439439381017502E-2</v>
      </c>
      <c r="E10" s="24">
        <v>0.29660191600920699</v>
      </c>
    </row>
    <row r="11" spans="1:5" x14ac:dyDescent="0.4">
      <c r="A11" s="1">
        <v>39355</v>
      </c>
      <c r="B11" s="24">
        <v>0.25132537733127402</v>
      </c>
      <c r="C11" s="24">
        <v>9.7967339927634303E-2</v>
      </c>
      <c r="D11" s="24">
        <v>-5.9564549257523601E-2</v>
      </c>
      <c r="E11" s="24">
        <v>0.31088992658879799</v>
      </c>
    </row>
    <row r="12" spans="1:5" x14ac:dyDescent="0.4">
      <c r="A12" s="1">
        <v>39386</v>
      </c>
      <c r="B12" s="24">
        <v>0.261402415259883</v>
      </c>
      <c r="C12" s="24">
        <v>0.103138479468523</v>
      </c>
      <c r="D12" s="24">
        <v>-4.7131843059129999E-2</v>
      </c>
      <c r="E12" s="24">
        <v>0.30853425831901299</v>
      </c>
    </row>
    <row r="13" spans="1:5" x14ac:dyDescent="0.4">
      <c r="A13" s="1">
        <v>39416</v>
      </c>
      <c r="B13" s="24">
        <v>0.265722172572538</v>
      </c>
      <c r="C13" s="24">
        <v>0.10818018592908001</v>
      </c>
      <c r="D13" s="24">
        <v>-3.6665870646806403E-2</v>
      </c>
      <c r="E13" s="24">
        <v>0.30238804321934398</v>
      </c>
    </row>
    <row r="14" spans="1:5" x14ac:dyDescent="0.4">
      <c r="A14" s="1">
        <v>39447</v>
      </c>
      <c r="B14" s="24">
        <v>0.27222840153804401</v>
      </c>
      <c r="C14" s="24">
        <v>0.112421284583843</v>
      </c>
      <c r="D14" s="24">
        <v>-2.89148486086022E-2</v>
      </c>
      <c r="E14" s="24">
        <v>0.301143250146647</v>
      </c>
    </row>
    <row r="15" spans="1:5" x14ac:dyDescent="0.4">
      <c r="A15" s="1">
        <v>39478</v>
      </c>
      <c r="B15" s="24">
        <v>0.27692016141886899</v>
      </c>
      <c r="C15" s="24">
        <v>0.116068602533715</v>
      </c>
      <c r="D15" s="24">
        <v>-2.2345724203128501E-2</v>
      </c>
      <c r="E15" s="24">
        <v>0.29926588562199702</v>
      </c>
    </row>
    <row r="16" spans="1:5" x14ac:dyDescent="0.4">
      <c r="A16" s="1">
        <v>39507</v>
      </c>
      <c r="B16" s="24">
        <v>0.27803554418653997</v>
      </c>
      <c r="C16" s="24">
        <v>0.117214311136183</v>
      </c>
      <c r="D16" s="24">
        <v>-1.3945387266435299E-2</v>
      </c>
      <c r="E16" s="24">
        <v>0.29198093145297499</v>
      </c>
    </row>
    <row r="17" spans="1:5" x14ac:dyDescent="0.4">
      <c r="A17" s="1">
        <v>39538</v>
      </c>
      <c r="B17" s="24">
        <v>0.28564806244941698</v>
      </c>
      <c r="C17" s="24">
        <v>0.119766974811851</v>
      </c>
      <c r="D17" s="24">
        <v>-5.5722265870536102E-3</v>
      </c>
      <c r="E17" s="24">
        <v>0.29122028903647101</v>
      </c>
    </row>
    <row r="18" spans="1:5" x14ac:dyDescent="0.4">
      <c r="A18" s="1">
        <v>39568</v>
      </c>
      <c r="B18" s="24">
        <v>0.29142866247948401</v>
      </c>
      <c r="C18" s="24">
        <v>0.12092932831499199</v>
      </c>
      <c r="D18" s="24">
        <v>-3.2836949917714299E-3</v>
      </c>
      <c r="E18" s="24">
        <v>0.29471235747125502</v>
      </c>
    </row>
    <row r="19" spans="1:5" x14ac:dyDescent="0.4">
      <c r="A19" s="1">
        <v>39599</v>
      </c>
      <c r="B19" s="24">
        <v>0.29238448703452402</v>
      </c>
      <c r="C19" s="24">
        <v>0.122121985161011</v>
      </c>
      <c r="D19" s="24">
        <v>-2.5195858170799401E-3</v>
      </c>
      <c r="E19" s="24">
        <v>0.29490407285160403</v>
      </c>
    </row>
    <row r="20" spans="1:5" x14ac:dyDescent="0.4">
      <c r="A20" s="1">
        <v>39629</v>
      </c>
      <c r="B20" s="24">
        <v>0.29320403222001701</v>
      </c>
      <c r="C20" s="24">
        <v>0.123357788446442</v>
      </c>
      <c r="D20" s="24">
        <v>-1.3249098662547699E-3</v>
      </c>
      <c r="E20" s="24">
        <v>0.29452894208627101</v>
      </c>
    </row>
    <row r="21" spans="1:5" x14ac:dyDescent="0.4">
      <c r="A21" s="1">
        <v>39660</v>
      </c>
      <c r="B21" s="24">
        <v>0.291357836329311</v>
      </c>
      <c r="C21" s="24">
        <v>0.12467779111453001</v>
      </c>
      <c r="D21" s="24">
        <v>-7.0059372439570001E-4</v>
      </c>
      <c r="E21" s="24">
        <v>0.29205843005370702</v>
      </c>
    </row>
    <row r="22" spans="1:5" x14ac:dyDescent="0.4">
      <c r="A22" s="1">
        <v>39691</v>
      </c>
      <c r="B22" s="24">
        <v>0.294026110900238</v>
      </c>
      <c r="C22" s="24">
        <v>0.12708118852023501</v>
      </c>
      <c r="D22" s="24">
        <v>1.7533088029484899E-3</v>
      </c>
      <c r="E22" s="24">
        <v>0.29227280209729001</v>
      </c>
    </row>
    <row r="23" spans="1:5" x14ac:dyDescent="0.4">
      <c r="A23" s="1">
        <v>39721</v>
      </c>
      <c r="B23" s="24">
        <v>0.29369522472906601</v>
      </c>
      <c r="C23" s="24">
        <v>0.128949101614795</v>
      </c>
      <c r="D23" s="24">
        <v>4.9900281815508703E-3</v>
      </c>
      <c r="E23" s="24">
        <v>0.28870519654751498</v>
      </c>
    </row>
    <row r="24" spans="1:5" x14ac:dyDescent="0.4">
      <c r="A24" s="1">
        <v>39752</v>
      </c>
      <c r="B24" s="24">
        <v>0.286803317591248</v>
      </c>
      <c r="C24" s="24">
        <v>0.12855948563009501</v>
      </c>
      <c r="D24" s="24">
        <v>4.8879853145513304E-3</v>
      </c>
      <c r="E24" s="24">
        <v>0.28191533227669602</v>
      </c>
    </row>
    <row r="25" spans="1:5" x14ac:dyDescent="0.4">
      <c r="A25" s="1">
        <v>39782</v>
      </c>
      <c r="B25" s="24">
        <v>0.28766816161645298</v>
      </c>
      <c r="C25" s="24">
        <v>0.12753424530096499</v>
      </c>
      <c r="D25" s="24">
        <v>5.1134664651866302E-3</v>
      </c>
      <c r="E25" s="24">
        <v>0.28255469515126702</v>
      </c>
    </row>
    <row r="26" spans="1:5" x14ac:dyDescent="0.4">
      <c r="A26" s="1">
        <v>39813</v>
      </c>
      <c r="B26" s="24">
        <v>0.29470249788509101</v>
      </c>
      <c r="C26" s="24">
        <v>0.12648594068894101</v>
      </c>
      <c r="D26" s="24">
        <v>6.2466290611740902E-3</v>
      </c>
      <c r="E26" s="24">
        <v>0.28845586882391699</v>
      </c>
    </row>
    <row r="27" spans="1:5" x14ac:dyDescent="0.4">
      <c r="A27" s="1">
        <v>39844</v>
      </c>
      <c r="B27" s="24">
        <v>0.30055978913063602</v>
      </c>
      <c r="C27" s="24">
        <v>0.12569096026985499</v>
      </c>
      <c r="D27" s="24">
        <v>9.5856195141302003E-3</v>
      </c>
      <c r="E27" s="24">
        <v>0.29097416961650602</v>
      </c>
    </row>
    <row r="28" spans="1:5" x14ac:dyDescent="0.4">
      <c r="A28" s="1">
        <v>39872</v>
      </c>
      <c r="B28" s="24">
        <v>0.29976568317232</v>
      </c>
      <c r="C28" s="24">
        <v>0.122849905174904</v>
      </c>
      <c r="D28" s="24">
        <v>9.4525489072667199E-3</v>
      </c>
      <c r="E28" s="24">
        <v>0.29031313426505401</v>
      </c>
    </row>
    <row r="29" spans="1:5" x14ac:dyDescent="0.4">
      <c r="A29" s="1">
        <v>39903</v>
      </c>
      <c r="B29" s="24">
        <v>0.29748362119859501</v>
      </c>
      <c r="C29" s="24">
        <v>0.11902656283418001</v>
      </c>
      <c r="D29" s="24">
        <v>8.3983017626055902E-3</v>
      </c>
      <c r="E29" s="24">
        <v>0.28908531943598897</v>
      </c>
    </row>
    <row r="30" spans="1:5" x14ac:dyDescent="0.4">
      <c r="A30" s="1">
        <v>39933</v>
      </c>
      <c r="B30" s="24">
        <v>0.287818294442028</v>
      </c>
      <c r="C30" s="24">
        <v>0.115222691850398</v>
      </c>
      <c r="D30" s="24">
        <v>-2.3936428477661698E-3</v>
      </c>
      <c r="E30" s="24">
        <v>0.290211937289794</v>
      </c>
    </row>
    <row r="31" spans="1:5" x14ac:dyDescent="0.4">
      <c r="A31" s="1">
        <v>39964</v>
      </c>
      <c r="B31" s="24">
        <v>0.27828240367498802</v>
      </c>
      <c r="C31" s="24">
        <v>0.111048738030876</v>
      </c>
      <c r="D31" s="24">
        <v>-1.2440597355750401E-2</v>
      </c>
      <c r="E31" s="24">
        <v>0.290723001030739</v>
      </c>
    </row>
    <row r="32" spans="1:5" x14ac:dyDescent="0.4">
      <c r="A32" s="1">
        <v>39994</v>
      </c>
      <c r="B32" s="24">
        <v>0.26337276875228399</v>
      </c>
      <c r="C32" s="24">
        <v>0.107353176630323</v>
      </c>
      <c r="D32" s="24">
        <v>-2.28446869323892E-2</v>
      </c>
      <c r="E32" s="24">
        <v>0.28621745568467299</v>
      </c>
    </row>
    <row r="33" spans="1:5" x14ac:dyDescent="0.4">
      <c r="A33" s="1">
        <v>40025</v>
      </c>
      <c r="B33" s="24">
        <v>0.24887114431577101</v>
      </c>
      <c r="C33" s="24">
        <v>0.102905093249181</v>
      </c>
      <c r="D33" s="24">
        <v>-3.3130715663421899E-2</v>
      </c>
      <c r="E33" s="24">
        <v>0.28200185997919303</v>
      </c>
    </row>
    <row r="34" spans="1:5" x14ac:dyDescent="0.4">
      <c r="A34" s="1">
        <v>40056</v>
      </c>
      <c r="B34" s="24">
        <v>0.23586762259465699</v>
      </c>
      <c r="C34" s="24">
        <v>9.8681715952920496E-2</v>
      </c>
      <c r="D34" s="24">
        <v>-4.4830208369628297E-2</v>
      </c>
      <c r="E34" s="24">
        <v>0.28069783096428502</v>
      </c>
    </row>
    <row r="35" spans="1:5" x14ac:dyDescent="0.4">
      <c r="A35" s="1">
        <v>40086</v>
      </c>
      <c r="B35" s="24">
        <v>0.22617860717774901</v>
      </c>
      <c r="C35" s="24">
        <v>9.4247927849646904E-2</v>
      </c>
      <c r="D35" s="24">
        <v>-5.6157894456162497E-2</v>
      </c>
      <c r="E35" s="24">
        <v>0.282336501633912</v>
      </c>
    </row>
    <row r="36" spans="1:5" x14ac:dyDescent="0.4">
      <c r="A36" s="1">
        <v>40117</v>
      </c>
      <c r="B36" s="24">
        <v>0.222591034655228</v>
      </c>
      <c r="C36" s="24">
        <v>9.2715484186216002E-2</v>
      </c>
      <c r="D36" s="24">
        <v>-5.9068263512058801E-2</v>
      </c>
      <c r="E36" s="24">
        <v>0.28165929816728702</v>
      </c>
    </row>
    <row r="37" spans="1:5" x14ac:dyDescent="0.4">
      <c r="A37" s="1">
        <v>40147</v>
      </c>
      <c r="B37" s="24">
        <v>0.217255074278942</v>
      </c>
      <c r="C37" s="24">
        <v>9.2075796704007895E-2</v>
      </c>
      <c r="D37" s="24">
        <v>-6.1360797192952697E-2</v>
      </c>
      <c r="E37" s="24">
        <v>0.27861587147189398</v>
      </c>
    </row>
    <row r="38" spans="1:5" x14ac:dyDescent="0.4">
      <c r="A38" s="1">
        <v>40178</v>
      </c>
      <c r="B38" s="24">
        <v>0.21240450505927699</v>
      </c>
      <c r="C38" s="24">
        <v>9.1602336039733501E-2</v>
      </c>
      <c r="D38" s="24">
        <v>-6.3278231323936299E-2</v>
      </c>
      <c r="E38" s="24">
        <v>0.275682736383213</v>
      </c>
    </row>
    <row r="39" spans="1:5" x14ac:dyDescent="0.4">
      <c r="A39" s="1">
        <v>40209</v>
      </c>
      <c r="B39" s="24">
        <v>0.210697384816982</v>
      </c>
      <c r="C39" s="24">
        <v>9.1227210357603006E-2</v>
      </c>
      <c r="D39" s="24">
        <v>-6.7732416479080002E-2</v>
      </c>
      <c r="E39" s="24">
        <v>0.27842980129606199</v>
      </c>
    </row>
    <row r="40" spans="1:5" x14ac:dyDescent="0.4">
      <c r="A40" s="1">
        <v>40237</v>
      </c>
      <c r="B40" s="24">
        <v>0.206858188908843</v>
      </c>
      <c r="C40" s="24">
        <v>9.0897426517134797E-2</v>
      </c>
      <c r="D40" s="24">
        <v>-7.2280855106711103E-2</v>
      </c>
      <c r="E40" s="24">
        <v>0.27913904401555401</v>
      </c>
    </row>
    <row r="41" spans="1:5" x14ac:dyDescent="0.4">
      <c r="A41" s="1">
        <v>40268</v>
      </c>
      <c r="B41" s="24">
        <v>0.20521091546401399</v>
      </c>
      <c r="C41" s="24">
        <v>9.3401326002992599E-2</v>
      </c>
      <c r="D41" s="24">
        <v>-7.0791088707251495E-2</v>
      </c>
      <c r="E41" s="24">
        <v>0.27600200417126602</v>
      </c>
    </row>
    <row r="42" spans="1:5" x14ac:dyDescent="0.4">
      <c r="A42" s="1">
        <v>40298</v>
      </c>
      <c r="B42" s="24">
        <v>0.210291178978535</v>
      </c>
      <c r="C42" s="24">
        <v>9.72533991430619E-2</v>
      </c>
      <c r="D42" s="24">
        <v>-5.6373069826106501E-2</v>
      </c>
      <c r="E42" s="24">
        <v>0.26666424880464101</v>
      </c>
    </row>
    <row r="43" spans="1:5" x14ac:dyDescent="0.4">
      <c r="A43" s="1">
        <v>40329</v>
      </c>
      <c r="B43" s="24">
        <v>0.21557791859025099</v>
      </c>
      <c r="C43" s="24">
        <v>0.101823257429537</v>
      </c>
      <c r="D43" s="24">
        <v>-4.15361290346596E-2</v>
      </c>
      <c r="E43" s="24">
        <v>0.25711404762491002</v>
      </c>
    </row>
    <row r="44" spans="1:5" x14ac:dyDescent="0.4">
      <c r="A44" s="1">
        <v>40359</v>
      </c>
      <c r="B44" s="24">
        <v>0.22086448995615299</v>
      </c>
      <c r="C44" s="24">
        <v>0.106047756393766</v>
      </c>
      <c r="D44" s="24">
        <v>-2.73087477203326E-2</v>
      </c>
      <c r="E44" s="24">
        <v>0.248173237676486</v>
      </c>
    </row>
    <row r="45" spans="1:5" x14ac:dyDescent="0.4">
      <c r="A45" s="1">
        <v>40390</v>
      </c>
      <c r="B45" s="24">
        <v>0.22632522796170601</v>
      </c>
      <c r="C45" s="24">
        <v>0.11063418247418701</v>
      </c>
      <c r="D45" s="24">
        <v>-1.14633580575704E-2</v>
      </c>
      <c r="E45" s="24">
        <v>0.23778858601927599</v>
      </c>
    </row>
    <row r="46" spans="1:5" x14ac:dyDescent="0.4">
      <c r="A46" s="1">
        <v>40421</v>
      </c>
      <c r="B46" s="24">
        <v>0.23315036879828499</v>
      </c>
      <c r="C46" s="24">
        <v>0.11790974214920499</v>
      </c>
      <c r="D46" s="24">
        <v>6.6146158394494899E-3</v>
      </c>
      <c r="E46" s="24">
        <v>0.22653575295883599</v>
      </c>
    </row>
    <row r="47" spans="1:5" x14ac:dyDescent="0.4">
      <c r="A47" s="1">
        <v>40451</v>
      </c>
      <c r="B47" s="24">
        <v>0.235025568874734</v>
      </c>
      <c r="C47" s="24">
        <v>0.123262418920925</v>
      </c>
      <c r="D47" s="24">
        <v>1.75069720514682E-2</v>
      </c>
      <c r="E47" s="24">
        <v>0.21751859682326599</v>
      </c>
    </row>
    <row r="48" spans="1:5" x14ac:dyDescent="0.4">
      <c r="A48" s="1">
        <v>40482</v>
      </c>
      <c r="B48" s="24">
        <v>0.23579324398111301</v>
      </c>
      <c r="C48" s="24">
        <v>0.12646419613714499</v>
      </c>
      <c r="D48" s="24">
        <v>1.9684185416378001E-2</v>
      </c>
      <c r="E48" s="24">
        <v>0.216109058564735</v>
      </c>
    </row>
    <row r="49" spans="1:5" x14ac:dyDescent="0.4">
      <c r="A49" s="1">
        <v>40512</v>
      </c>
      <c r="B49" s="24">
        <v>0.23897093274959899</v>
      </c>
      <c r="C49" s="24">
        <v>0.129871915949483</v>
      </c>
      <c r="D49" s="24">
        <v>2.1851967908093999E-2</v>
      </c>
      <c r="E49" s="24">
        <v>0.217118964841505</v>
      </c>
    </row>
    <row r="50" spans="1:5" x14ac:dyDescent="0.4">
      <c r="A50" s="1">
        <v>40543</v>
      </c>
      <c r="B50" s="24">
        <v>0.24351675780776399</v>
      </c>
      <c r="C50" s="24">
        <v>0.13330241573894799</v>
      </c>
      <c r="D50" s="24">
        <v>2.3885828010749399E-2</v>
      </c>
      <c r="E50" s="24">
        <v>0.21963092979701401</v>
      </c>
    </row>
    <row r="51" spans="1:5" x14ac:dyDescent="0.4">
      <c r="A51" s="1">
        <v>40574</v>
      </c>
      <c r="B51" s="24">
        <v>0.24832862319344601</v>
      </c>
      <c r="C51" s="24">
        <v>0.13624774230401801</v>
      </c>
      <c r="D51" s="24">
        <v>2.5023322814144801E-2</v>
      </c>
      <c r="E51" s="24">
        <v>0.22330530037930099</v>
      </c>
    </row>
    <row r="52" spans="1:5" x14ac:dyDescent="0.4">
      <c r="A52" s="1">
        <v>40602</v>
      </c>
      <c r="B52" s="24">
        <v>0.25340584273244599</v>
      </c>
      <c r="C52" s="24">
        <v>0.13681984302144201</v>
      </c>
      <c r="D52" s="24">
        <v>2.4483153406402398E-2</v>
      </c>
      <c r="E52" s="24">
        <v>0.22892268932604301</v>
      </c>
    </row>
    <row r="53" spans="1:5" x14ac:dyDescent="0.4">
      <c r="A53" s="1">
        <v>40633</v>
      </c>
      <c r="B53" s="24">
        <v>0.26211385380277602</v>
      </c>
      <c r="C53" s="24">
        <v>0.13802419355107301</v>
      </c>
      <c r="D53" s="24">
        <v>2.7802981123553502E-2</v>
      </c>
      <c r="E53" s="24">
        <v>0.23431087267922299</v>
      </c>
    </row>
    <row r="54" spans="1:5" x14ac:dyDescent="0.4">
      <c r="A54" s="1">
        <v>40663</v>
      </c>
      <c r="B54" s="24">
        <v>0.26031323456530397</v>
      </c>
      <c r="C54" s="24">
        <v>0.13765678646751001</v>
      </c>
      <c r="D54" s="24">
        <v>2.8763359375614299E-2</v>
      </c>
      <c r="E54" s="24">
        <v>0.23154987518969</v>
      </c>
    </row>
    <row r="55" spans="1:5" x14ac:dyDescent="0.4">
      <c r="A55" s="1">
        <v>40694</v>
      </c>
      <c r="B55" s="24">
        <v>0.25534689433608598</v>
      </c>
      <c r="C55" s="24">
        <v>0.13704205009971701</v>
      </c>
      <c r="D55" s="24">
        <v>2.94470547069541E-2</v>
      </c>
      <c r="E55" s="24">
        <v>0.22589983962913199</v>
      </c>
    </row>
    <row r="56" spans="1:5" x14ac:dyDescent="0.4">
      <c r="A56" s="1">
        <v>40724</v>
      </c>
      <c r="B56" s="24">
        <v>0.249221933892153</v>
      </c>
      <c r="C56" s="24">
        <v>0.13617608234666001</v>
      </c>
      <c r="D56" s="24">
        <v>3.0119958101214699E-2</v>
      </c>
      <c r="E56" s="24">
        <v>0.21910197579093901</v>
      </c>
    </row>
    <row r="57" spans="1:5" x14ac:dyDescent="0.4">
      <c r="A57" s="1">
        <v>40755</v>
      </c>
      <c r="B57" s="24">
        <v>0.24135211246900301</v>
      </c>
      <c r="C57" s="24">
        <v>0.13513237391059901</v>
      </c>
      <c r="D57" s="24">
        <v>3.03349863056614E-2</v>
      </c>
      <c r="E57" s="24">
        <v>0.21101712616334101</v>
      </c>
    </row>
    <row r="58" spans="1:5" x14ac:dyDescent="0.4">
      <c r="A58" s="1">
        <v>40786</v>
      </c>
      <c r="B58" s="24">
        <v>0.23721621566109</v>
      </c>
      <c r="C58" s="24">
        <v>0.13459693035074599</v>
      </c>
      <c r="D58" s="24">
        <v>3.4702475594366601E-2</v>
      </c>
      <c r="E58" s="24">
        <v>0.20251374006672301</v>
      </c>
    </row>
    <row r="59" spans="1:5" x14ac:dyDescent="0.4">
      <c r="A59" s="1">
        <v>40816</v>
      </c>
      <c r="B59" s="24">
        <v>0.22935438399083299</v>
      </c>
      <c r="C59" s="24">
        <v>0.13299945171967001</v>
      </c>
      <c r="D59" s="24">
        <v>3.6652166850418097E-2</v>
      </c>
      <c r="E59" s="24">
        <v>0.19270221714041499</v>
      </c>
    </row>
    <row r="60" spans="1:5" x14ac:dyDescent="0.4">
      <c r="A60" s="1">
        <v>40847</v>
      </c>
      <c r="B60" s="24">
        <v>0.22968862071096099</v>
      </c>
      <c r="C60" s="24">
        <v>0.13245836441734199</v>
      </c>
      <c r="D60" s="24">
        <v>3.8960801362165003E-2</v>
      </c>
      <c r="E60" s="24">
        <v>0.19072781934879601</v>
      </c>
    </row>
    <row r="61" spans="1:5" x14ac:dyDescent="0.4">
      <c r="A61" s="1">
        <v>40877</v>
      </c>
      <c r="B61" s="24">
        <v>0.23088183650696401</v>
      </c>
      <c r="C61" s="24">
        <v>0.13190544416776301</v>
      </c>
      <c r="D61" s="24">
        <v>4.1068275811041298E-2</v>
      </c>
      <c r="E61" s="24">
        <v>0.18981356069592301</v>
      </c>
    </row>
    <row r="62" spans="1:5" x14ac:dyDescent="0.4">
      <c r="A62" s="1">
        <v>40908</v>
      </c>
      <c r="B62" s="24">
        <v>0.231949956414679</v>
      </c>
      <c r="C62" s="24">
        <v>0.13155745635966201</v>
      </c>
      <c r="D62" s="24">
        <v>4.3455346221971301E-2</v>
      </c>
      <c r="E62" s="24">
        <v>0.188494610192707</v>
      </c>
    </row>
    <row r="63" spans="1:5" x14ac:dyDescent="0.4">
      <c r="A63" s="1">
        <v>40939</v>
      </c>
      <c r="B63" s="24">
        <v>0.23376830270501001</v>
      </c>
      <c r="C63" s="24">
        <v>0.131731821659267</v>
      </c>
      <c r="D63" s="24">
        <v>4.62505301486658E-2</v>
      </c>
      <c r="E63" s="24">
        <v>0.187517772556344</v>
      </c>
    </row>
    <row r="64" spans="1:5" x14ac:dyDescent="0.4">
      <c r="A64" s="1">
        <v>40968</v>
      </c>
      <c r="B64" s="24">
        <v>0.23530102519589999</v>
      </c>
      <c r="C64" s="24">
        <v>0.131201527097561</v>
      </c>
      <c r="D64" s="24">
        <v>4.60356440621865E-2</v>
      </c>
      <c r="E64" s="24">
        <v>0.189265381133713</v>
      </c>
    </row>
    <row r="65" spans="1:5" x14ac:dyDescent="0.4">
      <c r="A65" s="1">
        <v>40999</v>
      </c>
      <c r="B65" s="24">
        <v>0.243027953045411</v>
      </c>
      <c r="C65" s="24">
        <v>0.130370932449099</v>
      </c>
      <c r="D65" s="24">
        <v>4.5937090777523101E-2</v>
      </c>
      <c r="E65" s="24">
        <v>0.197090862267888</v>
      </c>
    </row>
    <row r="66" spans="1:5" x14ac:dyDescent="0.4">
      <c r="A66" s="1">
        <v>41029</v>
      </c>
      <c r="B66" s="24">
        <v>0.24315824258854901</v>
      </c>
      <c r="C66" s="24">
        <v>0.12690847018165999</v>
      </c>
      <c r="D66" s="24">
        <v>3.8562025344598599E-2</v>
      </c>
      <c r="E66" s="24">
        <v>0.20459621724395</v>
      </c>
    </row>
    <row r="67" spans="1:5" x14ac:dyDescent="0.4">
      <c r="A67" s="1">
        <v>41060</v>
      </c>
      <c r="B67" s="24">
        <v>0.24385813371218201</v>
      </c>
      <c r="C67" s="24">
        <v>0.12317009033101201</v>
      </c>
      <c r="D67" s="24">
        <v>3.2951619747185898E-2</v>
      </c>
      <c r="E67" s="24">
        <v>0.21090651396499599</v>
      </c>
    </row>
    <row r="68" spans="1:5" x14ac:dyDescent="0.4">
      <c r="A68" s="1">
        <v>41090</v>
      </c>
      <c r="B68" s="24">
        <v>0.244347204690647</v>
      </c>
      <c r="C68" s="24">
        <v>0.119264776049103</v>
      </c>
      <c r="D68" s="24">
        <v>2.7026499102492201E-2</v>
      </c>
      <c r="E68" s="24">
        <v>0.217320705588155</v>
      </c>
    </row>
    <row r="69" spans="1:5" x14ac:dyDescent="0.4">
      <c r="A69" s="1">
        <v>41121</v>
      </c>
      <c r="B69" s="24">
        <v>0.244007994117591</v>
      </c>
      <c r="C69" s="24">
        <v>0.115319646034896</v>
      </c>
      <c r="D69" s="24">
        <v>2.15921135903968E-2</v>
      </c>
      <c r="E69" s="24">
        <v>0.22241588052719399</v>
      </c>
    </row>
    <row r="70" spans="1:5" x14ac:dyDescent="0.4">
      <c r="A70" s="1">
        <v>41152</v>
      </c>
      <c r="B70" s="24">
        <v>0.23719611563624399</v>
      </c>
      <c r="C70" s="24">
        <v>0.11032261541855699</v>
      </c>
      <c r="D70" s="24">
        <v>1.38288053122501E-2</v>
      </c>
      <c r="E70" s="24">
        <v>0.22336731032399401</v>
      </c>
    </row>
    <row r="71" spans="1:5" x14ac:dyDescent="0.4">
      <c r="A71" s="1">
        <v>41182</v>
      </c>
      <c r="B71" s="24">
        <v>0.22314555951174</v>
      </c>
      <c r="C71" s="24">
        <v>0.10551585718383601</v>
      </c>
      <c r="D71" s="24">
        <v>5.24078517311026E-3</v>
      </c>
      <c r="E71" s="24">
        <v>0.21790477433863001</v>
      </c>
    </row>
    <row r="72" spans="1:5" x14ac:dyDescent="0.4">
      <c r="A72" s="1">
        <v>41213</v>
      </c>
      <c r="B72" s="24">
        <v>0.219006918709092</v>
      </c>
      <c r="C72" s="24">
        <v>0.103115034214649</v>
      </c>
      <c r="D72" s="24">
        <v>4.0531556873379497E-3</v>
      </c>
      <c r="E72" s="24">
        <v>0.21495376302175401</v>
      </c>
    </row>
    <row r="73" spans="1:5" x14ac:dyDescent="0.4">
      <c r="A73" s="1">
        <v>41243</v>
      </c>
      <c r="B73" s="24">
        <v>0.21468335937661501</v>
      </c>
      <c r="C73" s="24">
        <v>0.100628651052039</v>
      </c>
      <c r="D73" s="24">
        <v>1.7143882893714999E-3</v>
      </c>
      <c r="E73" s="24">
        <v>0.212968971087243</v>
      </c>
    </row>
    <row r="74" spans="1:5" x14ac:dyDescent="0.4">
      <c r="A74" s="1">
        <v>41274</v>
      </c>
      <c r="B74" s="24">
        <v>0.21013233475879101</v>
      </c>
      <c r="C74" s="24">
        <v>9.8125457968077104E-2</v>
      </c>
      <c r="D74" s="24">
        <v>-6.6532665521864805E-4</v>
      </c>
      <c r="E74" s="24">
        <v>0.21079766141400999</v>
      </c>
    </row>
    <row r="75" spans="1:5" x14ac:dyDescent="0.4">
      <c r="A75" s="1">
        <v>41305</v>
      </c>
      <c r="B75" s="24">
        <v>0.20592674113829901</v>
      </c>
      <c r="C75" s="24">
        <v>9.5028899657072105E-2</v>
      </c>
      <c r="D75" s="24">
        <v>-3.2535644199292498E-3</v>
      </c>
      <c r="E75" s="24">
        <v>0.209180305558228</v>
      </c>
    </row>
    <row r="76" spans="1:5" x14ac:dyDescent="0.4">
      <c r="A76" s="1">
        <v>41333</v>
      </c>
      <c r="B76" s="24">
        <v>0.20485887746557599</v>
      </c>
      <c r="C76" s="24">
        <v>9.3676332790682798E-2</v>
      </c>
      <c r="D76" s="24">
        <v>-3.7975062556451101E-3</v>
      </c>
      <c r="E76" s="24">
        <v>0.208656383721221</v>
      </c>
    </row>
    <row r="77" spans="1:5" x14ac:dyDescent="0.4">
      <c r="A77" s="1">
        <v>41364</v>
      </c>
      <c r="B77" s="24">
        <v>0.20573036368973499</v>
      </c>
      <c r="C77" s="24">
        <v>9.2640988492757106E-2</v>
      </c>
      <c r="D77" s="24">
        <v>-5.7014830918482402E-3</v>
      </c>
      <c r="E77" s="24">
        <v>0.211431846781583</v>
      </c>
    </row>
    <row r="78" spans="1:5" x14ac:dyDescent="0.4">
      <c r="A78" s="1">
        <v>41394</v>
      </c>
      <c r="B78" s="24">
        <v>0.200324686552798</v>
      </c>
      <c r="C78" s="24">
        <v>9.1975275802189005E-2</v>
      </c>
      <c r="D78" s="24">
        <v>-2.8349266459779501E-3</v>
      </c>
      <c r="E78" s="24">
        <v>0.20315961319877601</v>
      </c>
    </row>
    <row r="79" spans="1:5" x14ac:dyDescent="0.4">
      <c r="A79" s="1">
        <v>41425</v>
      </c>
      <c r="B79" s="24">
        <v>0.19369824817279499</v>
      </c>
      <c r="C79" s="24">
        <v>9.1504073326003493E-2</v>
      </c>
      <c r="D79" s="24">
        <v>-1.22302015701525E-3</v>
      </c>
      <c r="E79" s="24">
        <v>0.19492126832980999</v>
      </c>
    </row>
    <row r="80" spans="1:5" x14ac:dyDescent="0.4">
      <c r="A80" s="1">
        <v>41455</v>
      </c>
      <c r="B80" s="24">
        <v>0.18813495610243999</v>
      </c>
      <c r="C80" s="24">
        <v>9.1019776000081501E-2</v>
      </c>
      <c r="D80" s="25">
        <v>8.9962526505278303E-5</v>
      </c>
      <c r="E80" s="24">
        <v>0.18804499357593499</v>
      </c>
    </row>
    <row r="81" spans="1:5" x14ac:dyDescent="0.4">
      <c r="A81" s="1">
        <v>41486</v>
      </c>
      <c r="B81" s="24">
        <v>0.18250301832329199</v>
      </c>
      <c r="C81" s="24">
        <v>9.0924778993269298E-2</v>
      </c>
      <c r="D81" s="24">
        <v>1.7293411378105799E-3</v>
      </c>
      <c r="E81" s="24">
        <v>0.18077367718548101</v>
      </c>
    </row>
    <row r="82" spans="1:5" x14ac:dyDescent="0.4">
      <c r="A82" s="1">
        <v>41517</v>
      </c>
      <c r="B82" s="24">
        <v>0.17755203236879299</v>
      </c>
      <c r="C82" s="24">
        <v>9.0231087897510401E-2</v>
      </c>
      <c r="D82" s="24">
        <v>2.2732829735264502E-3</v>
      </c>
      <c r="E82" s="24">
        <v>0.175278749395267</v>
      </c>
    </row>
    <row r="83" spans="1:5" x14ac:dyDescent="0.4">
      <c r="A83" s="1">
        <v>41547</v>
      </c>
      <c r="B83" s="24">
        <v>0.17249689309160801</v>
      </c>
      <c r="C83" s="24">
        <v>8.9538085352582994E-2</v>
      </c>
      <c r="D83" s="24">
        <v>4.3610757902709796E-3</v>
      </c>
      <c r="E83" s="24">
        <v>0.168135817301337</v>
      </c>
    </row>
    <row r="84" spans="1:5" x14ac:dyDescent="0.4">
      <c r="A84" s="1">
        <v>41578</v>
      </c>
      <c r="B84" s="24">
        <v>0.17390574696622499</v>
      </c>
      <c r="C84" s="24">
        <v>8.83534318231423E-2</v>
      </c>
      <c r="D84" s="24">
        <v>2.6619380617426899E-3</v>
      </c>
      <c r="E84" s="24">
        <v>0.17124380890448199</v>
      </c>
    </row>
    <row r="85" spans="1:5" x14ac:dyDescent="0.4">
      <c r="A85" s="1">
        <v>41608</v>
      </c>
      <c r="B85" s="24">
        <v>0.17614750204860199</v>
      </c>
      <c r="C85" s="24">
        <v>8.7266817756893406E-2</v>
      </c>
      <c r="D85" s="24">
        <v>9.9806891820521798E-4</v>
      </c>
      <c r="E85" s="24">
        <v>0.17514943313039699</v>
      </c>
    </row>
    <row r="86" spans="1:5" x14ac:dyDescent="0.4">
      <c r="A86" s="1">
        <v>41639</v>
      </c>
      <c r="B86" s="24">
        <v>0.17801894531353199</v>
      </c>
      <c r="C86" s="24">
        <v>8.6320677072411603E-2</v>
      </c>
      <c r="D86" s="25">
        <v>5.1299215376362E-5</v>
      </c>
      <c r="E86" s="24">
        <v>0.17796764609815499</v>
      </c>
    </row>
    <row r="87" spans="1:5" x14ac:dyDescent="0.4">
      <c r="A87" s="1">
        <v>41670</v>
      </c>
      <c r="B87" s="24">
        <v>0.17934837703658901</v>
      </c>
      <c r="C87" s="24">
        <v>8.5409250995701097E-2</v>
      </c>
      <c r="D87" s="24">
        <v>-1.2635568514915E-3</v>
      </c>
      <c r="E87" s="24">
        <v>0.180611933888081</v>
      </c>
    </row>
    <row r="88" spans="1:5" x14ac:dyDescent="0.4">
      <c r="A88" s="1">
        <v>41698</v>
      </c>
      <c r="B88" s="24">
        <v>0.17964449479307301</v>
      </c>
      <c r="C88" s="24">
        <v>8.5062188127556795E-2</v>
      </c>
      <c r="D88" s="24">
        <v>-1.5332571073152499E-3</v>
      </c>
      <c r="E88" s="24">
        <v>0.18117775190038801</v>
      </c>
    </row>
    <row r="89" spans="1:5" x14ac:dyDescent="0.4">
      <c r="A89" s="1">
        <v>41729</v>
      </c>
      <c r="B89" s="24">
        <v>0.17936652141800999</v>
      </c>
      <c r="C89" s="24">
        <v>8.4471873864298594E-2</v>
      </c>
      <c r="D89" s="24">
        <v>-2.0007789206687699E-3</v>
      </c>
      <c r="E89" s="24">
        <v>0.18136730033867901</v>
      </c>
    </row>
    <row r="90" spans="1:5" x14ac:dyDescent="0.4">
      <c r="A90" s="1">
        <v>41759</v>
      </c>
      <c r="B90" s="24">
        <v>0.18056270825855</v>
      </c>
      <c r="C90" s="24">
        <v>8.4451586513561994E-2</v>
      </c>
      <c r="D90" s="24">
        <v>-5.8451222208360997E-3</v>
      </c>
      <c r="E90" s="24">
        <v>0.186407830479386</v>
      </c>
    </row>
    <row r="91" spans="1:5" x14ac:dyDescent="0.4">
      <c r="A91" s="1">
        <v>41790</v>
      </c>
      <c r="B91" s="24">
        <v>0.18206376138063701</v>
      </c>
      <c r="C91" s="24">
        <v>8.4024260349001498E-2</v>
      </c>
      <c r="D91" s="24">
        <v>-7.7968633125192303E-3</v>
      </c>
      <c r="E91" s="24">
        <v>0.18986062469315601</v>
      </c>
    </row>
    <row r="92" spans="1:5" x14ac:dyDescent="0.4">
      <c r="A92" s="1">
        <v>41820</v>
      </c>
      <c r="B92" s="24">
        <v>0.183027784510432</v>
      </c>
      <c r="C92" s="24">
        <v>8.3369925418288998E-2</v>
      </c>
      <c r="D92" s="24">
        <v>-9.7229079117333791E-3</v>
      </c>
      <c r="E92" s="24">
        <v>0.192750692422166</v>
      </c>
    </row>
    <row r="93" spans="1:5" x14ac:dyDescent="0.4">
      <c r="A93" s="1">
        <v>41851</v>
      </c>
      <c r="B93" s="24">
        <v>0.184016233814987</v>
      </c>
      <c r="C93" s="24">
        <v>8.2954987478375403E-2</v>
      </c>
      <c r="D93" s="24">
        <v>-1.2392013277162399E-2</v>
      </c>
      <c r="E93" s="24">
        <v>0.19640824709214899</v>
      </c>
    </row>
    <row r="94" spans="1:5" x14ac:dyDescent="0.4">
      <c r="A94" s="1">
        <v>41882</v>
      </c>
      <c r="B94" s="24">
        <v>0.186025205406286</v>
      </c>
      <c r="C94" s="24">
        <v>8.2631029590821095E-2</v>
      </c>
      <c r="D94" s="24">
        <v>-1.3198365473693E-2</v>
      </c>
      <c r="E94" s="24">
        <v>0.199223570879979</v>
      </c>
    </row>
    <row r="95" spans="1:5" x14ac:dyDescent="0.4">
      <c r="A95" s="1">
        <v>41912</v>
      </c>
      <c r="B95" s="24">
        <v>0.188276154738337</v>
      </c>
      <c r="C95" s="24">
        <v>8.2343932630056904E-2</v>
      </c>
      <c r="D95" s="24">
        <v>-1.35182674753749E-2</v>
      </c>
      <c r="E95" s="24">
        <v>0.20179442221371199</v>
      </c>
    </row>
    <row r="96" spans="1:5" x14ac:dyDescent="0.4">
      <c r="A96" s="1">
        <v>41943</v>
      </c>
      <c r="B96" s="24">
        <v>0.18669260782852201</v>
      </c>
      <c r="C96" s="24">
        <v>8.2060725645622001E-2</v>
      </c>
      <c r="D96" s="24">
        <v>-1.1763856442415999E-2</v>
      </c>
      <c r="E96" s="24">
        <v>0.19845646427093799</v>
      </c>
    </row>
    <row r="97" spans="1:5" x14ac:dyDescent="0.4">
      <c r="A97" s="1">
        <v>41973</v>
      </c>
      <c r="B97" s="24">
        <v>0.185361743987805</v>
      </c>
      <c r="C97" s="24">
        <v>8.1712394928945595E-2</v>
      </c>
      <c r="D97" s="24">
        <v>-1.3405634260114501E-2</v>
      </c>
      <c r="E97" s="24">
        <v>0.19876737824792001</v>
      </c>
    </row>
    <row r="98" spans="1:5" x14ac:dyDescent="0.4">
      <c r="A98" s="1">
        <v>42004</v>
      </c>
      <c r="B98" s="24">
        <v>0.184237598600411</v>
      </c>
      <c r="C98" s="24">
        <v>8.1240455859761002E-2</v>
      </c>
      <c r="D98" s="24">
        <v>-1.5474838426002601E-2</v>
      </c>
      <c r="E98" s="24">
        <v>0.199712437026414</v>
      </c>
    </row>
    <row r="99" spans="1:5" x14ac:dyDescent="0.4">
      <c r="A99" s="1">
        <v>42035</v>
      </c>
      <c r="B99" s="24">
        <v>0.18342252480814999</v>
      </c>
      <c r="C99" s="24">
        <v>8.0657646463017305E-2</v>
      </c>
      <c r="D99" s="24">
        <v>-1.5768417005671099E-2</v>
      </c>
      <c r="E99" s="24">
        <v>0.19919094181382099</v>
      </c>
    </row>
    <row r="100" spans="1:5" x14ac:dyDescent="0.4">
      <c r="A100" s="1">
        <v>42063</v>
      </c>
      <c r="B100" s="24">
        <v>0.181592550637483</v>
      </c>
      <c r="C100" s="24">
        <v>7.9998832722418201E-2</v>
      </c>
      <c r="D100" s="24">
        <v>-1.4692364553316699E-2</v>
      </c>
      <c r="E100" s="24">
        <v>0.19628491519079999</v>
      </c>
    </row>
    <row r="101" spans="1:5" x14ac:dyDescent="0.4">
      <c r="A101" s="1">
        <v>42094</v>
      </c>
      <c r="B101" s="24">
        <v>0.17983799591781799</v>
      </c>
      <c r="C101" s="24">
        <v>7.9195915246830506E-2</v>
      </c>
      <c r="D101" s="24">
        <v>-1.3904940738281199E-2</v>
      </c>
      <c r="E101" s="24">
        <v>0.19374293665609901</v>
      </c>
    </row>
    <row r="102" spans="1:5" x14ac:dyDescent="0.4">
      <c r="A102" s="1">
        <v>42124</v>
      </c>
      <c r="B102" s="24">
        <v>0.18019042649762501</v>
      </c>
      <c r="C102" s="24">
        <v>7.8501738199692903E-2</v>
      </c>
      <c r="D102" s="24">
        <v>-1.03571693854987E-2</v>
      </c>
      <c r="E102" s="24">
        <v>0.190547595883124</v>
      </c>
    </row>
    <row r="103" spans="1:5" x14ac:dyDescent="0.4">
      <c r="A103" s="1">
        <v>42155</v>
      </c>
      <c r="B103" s="24">
        <v>0.17836566846416399</v>
      </c>
      <c r="C103" s="24">
        <v>7.85159535058782E-2</v>
      </c>
      <c r="D103" s="24">
        <v>-5.9300965889704004E-3</v>
      </c>
      <c r="E103" s="24">
        <v>0.184295765053135</v>
      </c>
    </row>
    <row r="104" spans="1:5" x14ac:dyDescent="0.4">
      <c r="A104" s="1">
        <v>42185</v>
      </c>
      <c r="B104" s="24">
        <v>0.17835488095395499</v>
      </c>
      <c r="C104" s="24">
        <v>7.9321306158092797E-2</v>
      </c>
      <c r="D104" s="24">
        <v>-1.5391780594891E-3</v>
      </c>
      <c r="E104" s="24">
        <v>0.17989405901344399</v>
      </c>
    </row>
    <row r="105" spans="1:5" x14ac:dyDescent="0.4">
      <c r="A105" s="1">
        <v>42216</v>
      </c>
      <c r="B105" s="24">
        <v>0.17665474202506101</v>
      </c>
      <c r="C105" s="24">
        <v>8.0357858360558698E-2</v>
      </c>
      <c r="D105" s="24">
        <v>1.4978564955437201E-3</v>
      </c>
      <c r="E105" s="24">
        <v>0.175156885529518</v>
      </c>
    </row>
    <row r="106" spans="1:5" x14ac:dyDescent="0.4">
      <c r="A106" s="1">
        <v>42247</v>
      </c>
      <c r="B106" s="24">
        <v>0.175919616048688</v>
      </c>
      <c r="C106" s="24">
        <v>8.1075485208907103E-2</v>
      </c>
      <c r="D106" s="24">
        <v>-1.9388724104504399E-4</v>
      </c>
      <c r="E106" s="24">
        <v>0.17611350328973299</v>
      </c>
    </row>
    <row r="107" spans="1:5" x14ac:dyDescent="0.4">
      <c r="A107" s="1">
        <v>42277</v>
      </c>
      <c r="B107" s="24">
        <v>0.17513326757765199</v>
      </c>
      <c r="C107" s="24">
        <v>8.1699050637032006E-2</v>
      </c>
      <c r="D107" s="24">
        <v>-5.2580562916291502E-3</v>
      </c>
      <c r="E107" s="24">
        <v>0.180391323869281</v>
      </c>
    </row>
    <row r="108" spans="1:5" x14ac:dyDescent="0.4">
      <c r="A108" s="1">
        <v>42308</v>
      </c>
      <c r="B108" s="24">
        <v>0.173839240229644</v>
      </c>
      <c r="C108" s="24">
        <v>8.17573938079173E-2</v>
      </c>
      <c r="D108" s="24">
        <v>-6.7158953772032499E-3</v>
      </c>
      <c r="E108" s="24">
        <v>0.18055513560684699</v>
      </c>
    </row>
    <row r="109" spans="1:5" x14ac:dyDescent="0.4">
      <c r="A109" s="1">
        <v>42338</v>
      </c>
      <c r="B109" s="24">
        <v>0.17344356828566901</v>
      </c>
      <c r="C109" s="24">
        <v>8.0869587492573197E-2</v>
      </c>
      <c r="D109" s="24">
        <v>-1.06864546624578E-2</v>
      </c>
      <c r="E109" s="24">
        <v>0.184130022948127</v>
      </c>
    </row>
    <row r="110" spans="1:5" x14ac:dyDescent="0.4">
      <c r="A110" s="1">
        <v>42369</v>
      </c>
      <c r="B110" s="24">
        <v>0.17231312699326901</v>
      </c>
      <c r="C110" s="24">
        <v>7.9370431484269505E-2</v>
      </c>
      <c r="D110" s="24">
        <v>-1.3927279060332001E-2</v>
      </c>
      <c r="E110" s="24">
        <v>0.18624040605360101</v>
      </c>
    </row>
    <row r="111" spans="1:5" x14ac:dyDescent="0.4">
      <c r="A111" s="1">
        <v>42400</v>
      </c>
      <c r="B111" s="24">
        <v>0.17349352260270001</v>
      </c>
      <c r="C111" s="24">
        <v>7.8118172759458301E-2</v>
      </c>
      <c r="D111" s="24">
        <v>-1.6712341939264901E-2</v>
      </c>
      <c r="E111" s="24">
        <v>0.190205864541965</v>
      </c>
    </row>
    <row r="112" spans="1:5" x14ac:dyDescent="0.4">
      <c r="A112" s="1">
        <v>42429</v>
      </c>
      <c r="B112" s="24">
        <v>0.17457936778532099</v>
      </c>
      <c r="C112" s="24">
        <v>7.7163497595836794E-2</v>
      </c>
      <c r="D112" s="24">
        <v>-1.6383234770691601E-2</v>
      </c>
      <c r="E112" s="24">
        <v>0.190962602556012</v>
      </c>
    </row>
    <row r="113" spans="1:5" x14ac:dyDescent="0.4">
      <c r="A113" s="1">
        <v>42460</v>
      </c>
      <c r="B113" s="24">
        <v>0.17640712550877699</v>
      </c>
      <c r="C113" s="24">
        <v>7.7204999885216896E-2</v>
      </c>
      <c r="D113" s="24">
        <v>-1.26529885517322E-2</v>
      </c>
      <c r="E113" s="24">
        <v>0.18906011406050899</v>
      </c>
    </row>
    <row r="114" spans="1:5" x14ac:dyDescent="0.4">
      <c r="A114" s="1">
        <v>42490</v>
      </c>
      <c r="B114" s="24">
        <v>0.173808657305762</v>
      </c>
      <c r="C114" s="24">
        <v>7.6924075335628006E-2</v>
      </c>
      <c r="D114" s="24">
        <v>-1.7234209941422999E-2</v>
      </c>
      <c r="E114" s="24">
        <v>0.191042867247185</v>
      </c>
    </row>
    <row r="115" spans="1:5" x14ac:dyDescent="0.4">
      <c r="A115" s="1">
        <v>42521</v>
      </c>
      <c r="B115" s="24">
        <v>0.17200515159789201</v>
      </c>
      <c r="C115" s="24">
        <v>7.6932120720871799E-2</v>
      </c>
      <c r="D115" s="24">
        <v>-1.8884407989760699E-2</v>
      </c>
      <c r="E115" s="24">
        <v>0.190889559587653</v>
      </c>
    </row>
    <row r="116" spans="1:5" x14ac:dyDescent="0.4">
      <c r="A116" s="1">
        <v>42551</v>
      </c>
      <c r="B116" s="24">
        <v>0.168976543966878</v>
      </c>
      <c r="C116" s="24">
        <v>7.6967080424612394E-2</v>
      </c>
      <c r="D116" s="24">
        <v>-2.0069680739078399E-2</v>
      </c>
      <c r="E116" s="24">
        <v>0.189046224705956</v>
      </c>
    </row>
    <row r="117" spans="1:5" x14ac:dyDescent="0.4">
      <c r="A117" s="1">
        <v>42582</v>
      </c>
      <c r="B117" s="24">
        <v>0.165474050065685</v>
      </c>
      <c r="C117" s="24">
        <v>7.6563152725078396E-2</v>
      </c>
      <c r="D117" s="24">
        <v>-2.1375797929998601E-2</v>
      </c>
      <c r="E117" s="24">
        <v>0.18684984799568399</v>
      </c>
    </row>
    <row r="118" spans="1:5" x14ac:dyDescent="0.4">
      <c r="A118" s="1">
        <v>42613</v>
      </c>
      <c r="B118" s="24">
        <v>0.16059348689497699</v>
      </c>
      <c r="C118" s="24">
        <v>7.6531010607403596E-2</v>
      </c>
      <c r="D118" s="24">
        <v>-2.3089708174601799E-2</v>
      </c>
      <c r="E118" s="24">
        <v>0.183683195069579</v>
      </c>
    </row>
    <row r="119" spans="1:5" x14ac:dyDescent="0.4">
      <c r="A119" s="1">
        <v>42643</v>
      </c>
      <c r="B119" s="24">
        <v>0.154175204882636</v>
      </c>
      <c r="C119" s="24">
        <v>7.5332748162361698E-2</v>
      </c>
      <c r="D119" s="24">
        <v>-2.69978533575909E-2</v>
      </c>
      <c r="E119" s="24">
        <v>0.181173058240227</v>
      </c>
    </row>
    <row r="120" spans="1:5" x14ac:dyDescent="0.4">
      <c r="A120" s="1">
        <v>42674</v>
      </c>
      <c r="B120" s="24">
        <v>0.15444070242466301</v>
      </c>
      <c r="C120" s="24">
        <v>7.5804058439194993E-2</v>
      </c>
      <c r="D120" s="24">
        <v>-2.4858754697672101E-2</v>
      </c>
      <c r="E120" s="24">
        <v>0.179299457122335</v>
      </c>
    </row>
    <row r="121" spans="1:5" x14ac:dyDescent="0.4">
      <c r="A121" s="1">
        <v>42704</v>
      </c>
      <c r="B121" s="24">
        <v>0.15509713046794399</v>
      </c>
      <c r="C121" s="24">
        <v>7.6539363991296794E-2</v>
      </c>
      <c r="D121" s="24">
        <v>-2.1754477945008701E-2</v>
      </c>
      <c r="E121" s="24">
        <v>0.176851608412953</v>
      </c>
    </row>
    <row r="122" spans="1:5" x14ac:dyDescent="0.4">
      <c r="A122" s="1">
        <v>42735</v>
      </c>
      <c r="B122" s="24">
        <v>0.15643577870334399</v>
      </c>
      <c r="C122" s="24">
        <v>7.7038095668339204E-2</v>
      </c>
      <c r="D122" s="24">
        <v>-1.9886167964516002E-2</v>
      </c>
      <c r="E122" s="24">
        <v>0.17632194666786</v>
      </c>
    </row>
    <row r="123" spans="1:5" x14ac:dyDescent="0.4">
      <c r="A123" s="1">
        <v>42766</v>
      </c>
      <c r="B123" s="24">
        <v>0.15699522706826599</v>
      </c>
      <c r="C123" s="24">
        <v>7.6980138441121199E-2</v>
      </c>
      <c r="D123" s="24">
        <v>-1.8288694488607302E-2</v>
      </c>
      <c r="E123" s="24">
        <v>0.175283921556873</v>
      </c>
    </row>
    <row r="124" spans="1:5" x14ac:dyDescent="0.4">
      <c r="A124" s="1">
        <v>42794</v>
      </c>
      <c r="B124" s="24">
        <v>0.15684666396270899</v>
      </c>
      <c r="C124" s="24">
        <v>7.5866309845562696E-2</v>
      </c>
      <c r="D124" s="24">
        <v>-1.78236796802572E-2</v>
      </c>
      <c r="E124" s="24">
        <v>0.17467034364296599</v>
      </c>
    </row>
    <row r="125" spans="1:5" x14ac:dyDescent="0.4">
      <c r="A125" s="1">
        <v>42825</v>
      </c>
      <c r="B125" s="24">
        <v>0.15814035396339801</v>
      </c>
      <c r="C125" s="24">
        <v>7.5457265043051197E-2</v>
      </c>
      <c r="D125" s="24">
        <v>-1.50951324855488E-2</v>
      </c>
      <c r="E125" s="24">
        <v>0.17323548644894701</v>
      </c>
    </row>
    <row r="126" spans="1:5" x14ac:dyDescent="0.4">
      <c r="A126" s="1">
        <v>42855</v>
      </c>
      <c r="B126" s="24">
        <v>0.157481922350201</v>
      </c>
      <c r="C126" s="24">
        <v>7.5964045419393805E-2</v>
      </c>
      <c r="D126" s="24">
        <v>-1.26530097557767E-2</v>
      </c>
      <c r="E126" s="24">
        <v>0.17013493210597699</v>
      </c>
    </row>
    <row r="127" spans="1:5" x14ac:dyDescent="0.4">
      <c r="A127" s="1">
        <v>42886</v>
      </c>
      <c r="B127" s="24">
        <v>0.156941548058322</v>
      </c>
      <c r="C127" s="24">
        <v>7.6304332608716399E-2</v>
      </c>
      <c r="D127" s="24">
        <v>-1.01765465848175E-2</v>
      </c>
      <c r="E127" s="24">
        <v>0.16711809464314001</v>
      </c>
    </row>
    <row r="128" spans="1:5" x14ac:dyDescent="0.4">
      <c r="A128" s="1">
        <v>42916</v>
      </c>
      <c r="B128" s="24">
        <v>0.15639588768860299</v>
      </c>
      <c r="C128" s="24">
        <v>7.7262279326961003E-2</v>
      </c>
      <c r="D128" s="24">
        <v>-7.3133923379407797E-3</v>
      </c>
      <c r="E128" s="24">
        <v>0.163709280026544</v>
      </c>
    </row>
    <row r="129" spans="1:5" x14ac:dyDescent="0.4">
      <c r="A129" s="1">
        <v>42947</v>
      </c>
      <c r="B129" s="24">
        <v>0.156308732136752</v>
      </c>
      <c r="C129" s="24">
        <v>7.9194221244483207E-2</v>
      </c>
      <c r="D129" s="24">
        <v>-4.6043686440426701E-3</v>
      </c>
      <c r="E129" s="24">
        <v>0.16091310078079399</v>
      </c>
    </row>
    <row r="130" spans="1:5" x14ac:dyDescent="0.4">
      <c r="A130" s="1">
        <v>42978</v>
      </c>
      <c r="B130" s="24">
        <v>0.16089766538615699</v>
      </c>
      <c r="C130" s="24">
        <v>8.1713518560587006E-2</v>
      </c>
      <c r="D130" s="24">
        <v>5.9733888793204299E-4</v>
      </c>
      <c r="E130" s="24">
        <v>0.16030032649822501</v>
      </c>
    </row>
    <row r="131" spans="1:5" x14ac:dyDescent="0.4">
      <c r="A131" s="1">
        <v>43008</v>
      </c>
      <c r="B131" s="24">
        <v>0.16458662104983601</v>
      </c>
      <c r="C131" s="24">
        <v>8.3896264445422794E-2</v>
      </c>
      <c r="D131" s="24">
        <v>6.4282299059871496E-3</v>
      </c>
      <c r="E131" s="24">
        <v>0.158158391143849</v>
      </c>
    </row>
    <row r="132" spans="1:5" x14ac:dyDescent="0.4">
      <c r="A132" s="1">
        <v>43039</v>
      </c>
      <c r="B132" s="24">
        <v>0.16734299278026399</v>
      </c>
      <c r="C132" s="24">
        <v>8.5572166025299698E-2</v>
      </c>
      <c r="D132" s="24">
        <v>1.0280980041555801E-2</v>
      </c>
      <c r="E132" s="24">
        <v>0.15706201273870801</v>
      </c>
    </row>
    <row r="133" spans="1:5" x14ac:dyDescent="0.4">
      <c r="A133" s="1">
        <v>43069</v>
      </c>
      <c r="B133" s="24">
        <v>0.17065810385441399</v>
      </c>
      <c r="C133" s="24">
        <v>8.7590424538965303E-2</v>
      </c>
      <c r="D133" s="24">
        <v>1.5471442019385899E-2</v>
      </c>
      <c r="E133" s="24">
        <v>0.15518666183502899</v>
      </c>
    </row>
    <row r="134" spans="1:5" x14ac:dyDescent="0.4">
      <c r="A134" s="1">
        <v>43100</v>
      </c>
      <c r="B134" s="24">
        <v>0.17412060741810001</v>
      </c>
      <c r="C134" s="24">
        <v>8.9049338190376498E-2</v>
      </c>
      <c r="D134" s="24">
        <v>2.05657732362633E-2</v>
      </c>
      <c r="E134" s="24">
        <v>0.15355483418183599</v>
      </c>
    </row>
    <row r="135" spans="1:5" x14ac:dyDescent="0.4">
      <c r="A135" s="1">
        <v>43131</v>
      </c>
      <c r="B135" s="24">
        <v>0.177727286736163</v>
      </c>
      <c r="C135" s="24">
        <v>9.0904921012263495E-2</v>
      </c>
      <c r="D135" s="24">
        <v>2.6361902054418199E-2</v>
      </c>
      <c r="E135" s="24">
        <v>0.15136538468174501</v>
      </c>
    </row>
    <row r="136" spans="1:5" x14ac:dyDescent="0.4">
      <c r="A136" s="1">
        <v>43159</v>
      </c>
      <c r="B136" s="24">
        <v>0.18126817339078399</v>
      </c>
      <c r="C136" s="24">
        <v>9.3412931081096898E-2</v>
      </c>
      <c r="D136" s="24">
        <v>2.9455187395090301E-2</v>
      </c>
      <c r="E136" s="24">
        <v>0.15181298599569301</v>
      </c>
    </row>
    <row r="137" spans="1:5" x14ac:dyDescent="0.4">
      <c r="A137" s="1">
        <v>43190</v>
      </c>
      <c r="B137" s="24">
        <v>0.184839320554958</v>
      </c>
      <c r="C137" s="24">
        <v>9.5855484876611205E-2</v>
      </c>
      <c r="D137" s="24">
        <v>3.2384273984653503E-2</v>
      </c>
      <c r="E137" s="24">
        <v>0.15245504657030501</v>
      </c>
    </row>
    <row r="138" spans="1:5" x14ac:dyDescent="0.4">
      <c r="A138" s="1">
        <v>43220</v>
      </c>
      <c r="B138" s="24">
        <v>0.18533794664147399</v>
      </c>
      <c r="C138" s="24">
        <v>9.7423187081000603E-2</v>
      </c>
      <c r="D138" s="24">
        <v>3.5094601269984503E-2</v>
      </c>
      <c r="E138" s="24">
        <v>0.15024334537149001</v>
      </c>
    </row>
    <row r="139" spans="1:5" x14ac:dyDescent="0.4">
      <c r="A139" s="1">
        <v>43251</v>
      </c>
      <c r="B139" s="24">
        <v>0.18672695956656801</v>
      </c>
      <c r="C139" s="24">
        <v>9.8432443675145795E-2</v>
      </c>
      <c r="D139" s="24">
        <v>3.39332759138938E-2</v>
      </c>
      <c r="E139" s="24">
        <v>0.15279368365267401</v>
      </c>
    </row>
    <row r="140" spans="1:5" x14ac:dyDescent="0.4">
      <c r="A140" s="1">
        <v>43281</v>
      </c>
      <c r="B140" s="24">
        <v>0.19007048304933999</v>
      </c>
      <c r="C140" s="24">
        <v>9.9863368878842104E-2</v>
      </c>
      <c r="D140" s="24">
        <v>3.2843435502583097E-2</v>
      </c>
      <c r="E140" s="24">
        <v>0.15722704754675601</v>
      </c>
    </row>
    <row r="141" spans="1:5" x14ac:dyDescent="0.4">
      <c r="A141" s="1">
        <v>43312</v>
      </c>
      <c r="B141" s="24">
        <v>0.19545724785525501</v>
      </c>
      <c r="C141" s="24">
        <v>0.10020156196605599</v>
      </c>
      <c r="D141" s="24">
        <v>3.1085384758230802E-2</v>
      </c>
      <c r="E141" s="24">
        <v>0.16437186309702401</v>
      </c>
    </row>
    <row r="142" spans="1:5" x14ac:dyDescent="0.4">
      <c r="A142" s="1">
        <v>43343</v>
      </c>
      <c r="B142" s="24">
        <v>0.202017977942935</v>
      </c>
      <c r="C142" s="24">
        <v>0.100170513791544</v>
      </c>
      <c r="D142" s="24">
        <v>2.7609734035512298E-2</v>
      </c>
      <c r="E142" s="24">
        <v>0.17440824390742299</v>
      </c>
    </row>
    <row r="143" spans="1:5" x14ac:dyDescent="0.4">
      <c r="A143" s="1">
        <v>43373</v>
      </c>
      <c r="B143" s="24">
        <v>0.206669732939848</v>
      </c>
      <c r="C143" s="24">
        <v>9.9936848323469205E-2</v>
      </c>
      <c r="D143" s="24">
        <v>2.4676454373923101E-2</v>
      </c>
      <c r="E143" s="24">
        <v>0.18199327856592501</v>
      </c>
    </row>
    <row r="144" spans="1:5" x14ac:dyDescent="0.4">
      <c r="A144" s="1">
        <v>43404</v>
      </c>
      <c r="B144" s="24">
        <v>0.21328150174098201</v>
      </c>
      <c r="C144" s="24">
        <v>0.10037356613378901</v>
      </c>
      <c r="D144" s="24">
        <v>2.0681960378932499E-2</v>
      </c>
      <c r="E144" s="24">
        <v>0.19259954136204999</v>
      </c>
    </row>
    <row r="145" spans="1:5" x14ac:dyDescent="0.4">
      <c r="A145" s="1">
        <v>43434</v>
      </c>
      <c r="B145" s="24">
        <v>0.21766596463115101</v>
      </c>
      <c r="C145" s="24">
        <v>0.100380148521025</v>
      </c>
      <c r="D145" s="24">
        <v>1.8858859240912199E-2</v>
      </c>
      <c r="E145" s="24">
        <v>0.19880710539023899</v>
      </c>
    </row>
    <row r="146" spans="1:5" x14ac:dyDescent="0.4">
      <c r="A146" s="1">
        <v>43465</v>
      </c>
      <c r="B146" s="24">
        <v>0.21948071315701201</v>
      </c>
      <c r="C146" s="24">
        <v>0.100214497210502</v>
      </c>
      <c r="D146" s="24">
        <v>1.4549001355167899E-2</v>
      </c>
      <c r="E146" s="24">
        <v>0.204931711801844</v>
      </c>
    </row>
    <row r="147" spans="1:5" x14ac:dyDescent="0.4">
      <c r="A147" s="1">
        <v>43496</v>
      </c>
      <c r="B147" s="24">
        <v>0.219755002719809</v>
      </c>
      <c r="C147" s="24">
        <v>9.9694762742066206E-2</v>
      </c>
      <c r="D147" s="24">
        <v>1.0529348833144299E-2</v>
      </c>
      <c r="E147" s="24">
        <v>0.209225653886665</v>
      </c>
    </row>
    <row r="148" spans="1:5" x14ac:dyDescent="0.4">
      <c r="A148" s="1">
        <v>43524</v>
      </c>
      <c r="B148" s="24">
        <v>0.215518421129334</v>
      </c>
      <c r="C148" s="24">
        <v>9.92744185557137E-2</v>
      </c>
      <c r="D148" s="24">
        <v>8.3215386874846003E-3</v>
      </c>
      <c r="E148" s="24">
        <v>0.20719688244185</v>
      </c>
    </row>
    <row r="149" spans="1:5" x14ac:dyDescent="0.4">
      <c r="A149" s="1">
        <v>43555</v>
      </c>
      <c r="B149" s="24">
        <v>0.213373929630371</v>
      </c>
      <c r="C149" s="24">
        <v>9.8486160216861102E-2</v>
      </c>
      <c r="D149" s="24">
        <v>6.9902468774332201E-3</v>
      </c>
      <c r="E149" s="24">
        <v>0.206383682752937</v>
      </c>
    </row>
    <row r="150" spans="1:5" x14ac:dyDescent="0.4">
      <c r="A150" s="1">
        <v>43585</v>
      </c>
      <c r="B150" s="24">
        <v>0.21003926070992701</v>
      </c>
      <c r="C150" s="24">
        <v>9.6537465512552198E-2</v>
      </c>
      <c r="D150" s="24">
        <v>5.3000823017724198E-3</v>
      </c>
      <c r="E150" s="24">
        <v>0.204739178408154</v>
      </c>
    </row>
    <row r="151" spans="1:5" x14ac:dyDescent="0.4">
      <c r="A151" s="1">
        <v>43616</v>
      </c>
      <c r="B151" s="24">
        <v>0.20637446948475299</v>
      </c>
      <c r="C151" s="24">
        <v>9.3039992961795298E-2</v>
      </c>
      <c r="D151" s="24">
        <v>2.7714301171726601E-3</v>
      </c>
      <c r="E151" s="24">
        <v>0.20360303936758001</v>
      </c>
    </row>
    <row r="152" spans="1:5" x14ac:dyDescent="0.4">
      <c r="A152" s="1">
        <v>43646</v>
      </c>
      <c r="B152" s="24">
        <v>0.20333346901889099</v>
      </c>
      <c r="C152" s="24">
        <v>8.9705228395036404E-2</v>
      </c>
      <c r="D152" s="24">
        <v>2.3012181743440599E-3</v>
      </c>
      <c r="E152" s="24">
        <v>0.20103225084454601</v>
      </c>
    </row>
    <row r="153" spans="1:5" x14ac:dyDescent="0.4">
      <c r="A153" s="1">
        <v>43677</v>
      </c>
      <c r="B153" s="24">
        <v>0.20082305479957199</v>
      </c>
      <c r="C153" s="24">
        <v>8.6816068843016903E-2</v>
      </c>
      <c r="D153" s="24">
        <v>-1.48109690130787E-3</v>
      </c>
      <c r="E153" s="24">
        <v>0.20230415170088001</v>
      </c>
    </row>
    <row r="154" spans="1:5" x14ac:dyDescent="0.4">
      <c r="A154" s="1">
        <v>43708</v>
      </c>
      <c r="B154" s="24">
        <v>0.20151614221596501</v>
      </c>
      <c r="C154" s="24">
        <v>8.4166499771701805E-2</v>
      </c>
      <c r="D154" s="24">
        <v>-3.7853485682577599E-3</v>
      </c>
      <c r="E154" s="24">
        <v>0.205301490784223</v>
      </c>
    </row>
    <row r="155" spans="1:5" x14ac:dyDescent="0.4">
      <c r="A155" s="1">
        <v>43738</v>
      </c>
      <c r="B155" s="24">
        <v>0.20022089170382501</v>
      </c>
      <c r="C155" s="24">
        <v>8.2123137221727899E-2</v>
      </c>
      <c r="D155" s="24">
        <v>-8.7535769300022999E-3</v>
      </c>
      <c r="E155" s="24">
        <v>0.20897446863382799</v>
      </c>
    </row>
    <row r="156" spans="1:5" x14ac:dyDescent="0.4">
      <c r="A156" s="1">
        <v>43769</v>
      </c>
      <c r="B156" s="24">
        <v>0.20332540475882099</v>
      </c>
      <c r="C156" s="24">
        <v>8.1043972312392604E-2</v>
      </c>
      <c r="D156" s="24">
        <v>-1.23220283173694E-2</v>
      </c>
      <c r="E156" s="24">
        <v>0.215647433076191</v>
      </c>
    </row>
    <row r="157" spans="1:5" x14ac:dyDescent="0.4">
      <c r="A157" s="1">
        <v>43799</v>
      </c>
      <c r="B157" s="24">
        <v>0.208997431531974</v>
      </c>
      <c r="C157" s="24">
        <v>8.2449836879956898E-2</v>
      </c>
      <c r="D157" s="24">
        <v>-1.2939446836076099E-2</v>
      </c>
      <c r="E157" s="24">
        <v>0.22193687836805001</v>
      </c>
    </row>
    <row r="158" spans="1:5" x14ac:dyDescent="0.4">
      <c r="A158" s="1">
        <v>43830</v>
      </c>
      <c r="B158" s="24">
        <v>0.21105868527059099</v>
      </c>
      <c r="C158" s="24">
        <v>8.3559801722733598E-2</v>
      </c>
      <c r="D158" s="24">
        <v>-1.23431143357207E-2</v>
      </c>
      <c r="E158" s="24">
        <v>0.22340179960631201</v>
      </c>
    </row>
    <row r="159" spans="1:5" x14ac:dyDescent="0.4">
      <c r="A159" s="1">
        <v>43861</v>
      </c>
      <c r="B159" s="24">
        <v>0.21187942504745699</v>
      </c>
      <c r="C159" s="24">
        <v>8.5087310100243604E-2</v>
      </c>
      <c r="D159" s="24">
        <v>-7.8786545591677994E-3</v>
      </c>
      <c r="E159" s="24">
        <v>0.219758079606625</v>
      </c>
    </row>
    <row r="160" spans="1:5" x14ac:dyDescent="0.4">
      <c r="A160" s="1">
        <v>43890</v>
      </c>
      <c r="B160" s="24">
        <v>0.211518603105047</v>
      </c>
      <c r="C160" s="24">
        <v>8.5709239943277504E-2</v>
      </c>
      <c r="D160" s="24">
        <v>-5.0784047212015003E-3</v>
      </c>
      <c r="E160" s="24">
        <v>0.21659700782624899</v>
      </c>
    </row>
    <row r="161" spans="1:5" x14ac:dyDescent="0.4">
      <c r="A161" s="1">
        <v>43921</v>
      </c>
      <c r="B161" s="24">
        <v>0.21546248799870901</v>
      </c>
      <c r="C161" s="24">
        <v>8.6482971398100406E-2</v>
      </c>
      <c r="D161" s="24">
        <v>-1.4848998776887899E-3</v>
      </c>
      <c r="E161" s="24">
        <v>0.216947387876398</v>
      </c>
    </row>
    <row r="162" spans="1:5" x14ac:dyDescent="0.4">
      <c r="A162" s="1">
        <v>43951</v>
      </c>
      <c r="B162" s="24">
        <v>0.208059633231688</v>
      </c>
      <c r="C162" s="24">
        <v>8.5189715726374696E-2</v>
      </c>
      <c r="D162" s="24">
        <v>-1.7009032360342799E-3</v>
      </c>
      <c r="E162" s="24">
        <v>0.209760536467722</v>
      </c>
    </row>
    <row r="163" spans="1:5" x14ac:dyDescent="0.4">
      <c r="A163" s="1">
        <v>43982</v>
      </c>
      <c r="B163" s="24">
        <v>0.198054490816684</v>
      </c>
      <c r="C163" s="24">
        <v>8.3745101070214906E-2</v>
      </c>
      <c r="D163" s="24">
        <v>-3.0692219917724398E-3</v>
      </c>
      <c r="E163" s="24">
        <v>0.20112371280845601</v>
      </c>
    </row>
    <row r="164" spans="1:5" x14ac:dyDescent="0.4">
      <c r="A164" s="1">
        <v>44012</v>
      </c>
      <c r="B164" s="24">
        <v>0.19102435869987999</v>
      </c>
      <c r="C164" s="24">
        <v>8.1566831713944493E-2</v>
      </c>
      <c r="D164" s="24">
        <v>-6.3262318214646601E-3</v>
      </c>
      <c r="E164" s="24">
        <v>0.19735059052134499</v>
      </c>
    </row>
    <row r="165" spans="1:5" x14ac:dyDescent="0.4">
      <c r="A165" s="1">
        <v>44043</v>
      </c>
      <c r="B165" s="24">
        <v>0.18407901783766101</v>
      </c>
      <c r="C165" s="24">
        <v>7.9677634077164494E-2</v>
      </c>
      <c r="D165" s="24">
        <v>-1.03840671626447E-2</v>
      </c>
      <c r="E165" s="24">
        <v>0.19446308500030601</v>
      </c>
    </row>
    <row r="166" spans="1:5" x14ac:dyDescent="0.4">
      <c r="A166" s="1">
        <v>44074</v>
      </c>
      <c r="B166" s="24">
        <v>0.178784348811201</v>
      </c>
      <c r="C166" s="24">
        <v>7.85205342897108E-2</v>
      </c>
      <c r="D166" s="24">
        <v>-1.35845615407977E-2</v>
      </c>
      <c r="E166" s="24">
        <v>0.19236891035199899</v>
      </c>
    </row>
    <row r="167" spans="1:5" x14ac:dyDescent="0.4">
      <c r="A167" s="1">
        <v>44104</v>
      </c>
      <c r="B167" s="24">
        <v>0.17180540833515801</v>
      </c>
      <c r="C167" s="24">
        <v>7.7471812669950596E-2</v>
      </c>
      <c r="D167" s="24">
        <v>-1.8169396394850101E-2</v>
      </c>
      <c r="E167" s="24">
        <v>0.189974804730008</v>
      </c>
    </row>
    <row r="168" spans="1:5" x14ac:dyDescent="0.4">
      <c r="A168" s="1">
        <v>44135</v>
      </c>
      <c r="B168" s="24">
        <v>0.175787410859892</v>
      </c>
      <c r="C168" s="24">
        <v>7.8229893750866905E-2</v>
      </c>
      <c r="D168" s="24">
        <v>-2.00113348546384E-2</v>
      </c>
      <c r="E168" s="24">
        <v>0.19579874571453099</v>
      </c>
    </row>
    <row r="169" spans="1:5" x14ac:dyDescent="0.4">
      <c r="A169" s="1">
        <v>44165</v>
      </c>
      <c r="B169" s="24">
        <v>0.18160080732845801</v>
      </c>
      <c r="C169" s="24">
        <v>7.9546240237902702E-2</v>
      </c>
      <c r="D169" s="24">
        <v>-2.2566254678434899E-2</v>
      </c>
      <c r="E169" s="24">
        <v>0.204167062006893</v>
      </c>
    </row>
    <row r="170" spans="1:5" x14ac:dyDescent="0.4">
      <c r="A170" s="1">
        <v>44196</v>
      </c>
      <c r="B170" s="24">
        <v>0.188364283215921</v>
      </c>
      <c r="C170" s="24">
        <v>8.2432208079340805E-2</v>
      </c>
      <c r="D170" s="24">
        <v>-2.42052009632619E-2</v>
      </c>
      <c r="E170" s="24">
        <v>0.212569484179183</v>
      </c>
    </row>
    <row r="171" spans="1:5" x14ac:dyDescent="0.4">
      <c r="A171" s="1">
        <v>44227</v>
      </c>
      <c r="B171" s="24">
        <v>0.19489466581237</v>
      </c>
      <c r="C171" s="24">
        <v>8.4971224626560996E-2</v>
      </c>
      <c r="D171" s="24">
        <v>-2.64772508012616E-2</v>
      </c>
      <c r="E171" s="24">
        <v>0.22137191661363201</v>
      </c>
    </row>
    <row r="172" spans="1:5" x14ac:dyDescent="0.4">
      <c r="A172" s="1">
        <v>44255</v>
      </c>
      <c r="B172" s="24">
        <v>0.199045143028098</v>
      </c>
      <c r="C172" s="24">
        <v>8.6647100734286095E-2</v>
      </c>
      <c r="D172" s="24">
        <v>-2.8540587521968599E-2</v>
      </c>
      <c r="E172" s="24">
        <v>0.22758573055006701</v>
      </c>
    </row>
    <row r="173" spans="1:5" x14ac:dyDescent="0.4">
      <c r="A173" s="1">
        <v>44286</v>
      </c>
      <c r="B173" s="24">
        <v>0.202440451471673</v>
      </c>
      <c r="C173" s="24">
        <v>8.8234864768967206E-2</v>
      </c>
      <c r="D173" s="24">
        <v>-2.87898554890288E-2</v>
      </c>
      <c r="E173" s="24">
        <v>0.23123030696070199</v>
      </c>
    </row>
    <row r="174" spans="1:5" x14ac:dyDescent="0.4">
      <c r="A174" s="1">
        <v>44316</v>
      </c>
      <c r="B174" s="24">
        <v>0.205822222658924</v>
      </c>
      <c r="C174" s="24">
        <v>9.1911418690617197E-2</v>
      </c>
      <c r="D174" s="24">
        <v>-2.2898853976805598E-2</v>
      </c>
      <c r="E174" s="24">
        <v>0.22872107663572999</v>
      </c>
    </row>
    <row r="175" spans="1:5" x14ac:dyDescent="0.4">
      <c r="A175" s="1">
        <v>44347</v>
      </c>
      <c r="B175" s="24">
        <v>0.209812001835815</v>
      </c>
      <c r="C175" s="24">
        <v>9.5689984357402696E-2</v>
      </c>
      <c r="D175" s="24">
        <v>-1.6428396536242999E-2</v>
      </c>
      <c r="E175" s="24">
        <v>0.226240398372058</v>
      </c>
    </row>
    <row r="176" spans="1:5" x14ac:dyDescent="0.4">
      <c r="A176" s="1">
        <v>44377</v>
      </c>
      <c r="B176" s="24">
        <v>0.213039558114897</v>
      </c>
      <c r="C176" s="24">
        <v>9.87598123960296E-2</v>
      </c>
      <c r="D176" s="24">
        <v>-8.9121169199335194E-3</v>
      </c>
      <c r="E176" s="24">
        <v>0.22195167503483099</v>
      </c>
    </row>
    <row r="177" spans="1:5" x14ac:dyDescent="0.4">
      <c r="A177" s="1">
        <v>44408</v>
      </c>
      <c r="B177" s="24">
        <v>0.21643246955957199</v>
      </c>
      <c r="C177" s="24">
        <v>0.101377210164752</v>
      </c>
      <c r="D177" s="24">
        <v>-1.9181572270799399E-3</v>
      </c>
      <c r="E177" s="24">
        <v>0.21835062678665201</v>
      </c>
    </row>
    <row r="178" spans="1:5" x14ac:dyDescent="0.4">
      <c r="A178" s="1">
        <v>44439</v>
      </c>
      <c r="B178" s="24">
        <v>0.220915587469946</v>
      </c>
      <c r="C178" s="24">
        <v>0.10436943260420101</v>
      </c>
      <c r="D178" s="24">
        <v>5.7492947908125503E-3</v>
      </c>
      <c r="E178" s="24">
        <v>0.21516629267913401</v>
      </c>
    </row>
    <row r="179" spans="1:5" x14ac:dyDescent="0.4">
      <c r="A179" s="1">
        <v>44469</v>
      </c>
      <c r="B179" s="24">
        <v>0.22572473868991699</v>
      </c>
      <c r="C179" s="24">
        <v>0.10751440100248</v>
      </c>
      <c r="D179" s="24">
        <v>1.2271325841167901E-2</v>
      </c>
      <c r="E179" s="24">
        <v>0.213453412848749</v>
      </c>
    </row>
    <row r="180" spans="1:5" x14ac:dyDescent="0.4">
      <c r="A180" s="1">
        <v>44500</v>
      </c>
      <c r="B180" s="24">
        <v>0.22863438038444001</v>
      </c>
      <c r="C180" s="24">
        <v>0.1088906878089</v>
      </c>
      <c r="D180" s="24">
        <v>1.50192814696081E-2</v>
      </c>
      <c r="E180" s="24">
        <v>0.21361509891483199</v>
      </c>
    </row>
    <row r="181" spans="1:5" x14ac:dyDescent="0.4">
      <c r="A181" s="1">
        <v>44530</v>
      </c>
      <c r="B181" s="24">
        <v>0.22861107566442301</v>
      </c>
      <c r="C181" s="24">
        <v>0.10919356626950499</v>
      </c>
      <c r="D181" s="24">
        <v>1.6061733437209399E-2</v>
      </c>
      <c r="E181" s="24">
        <v>0.212549342227214</v>
      </c>
    </row>
    <row r="182" spans="1:5" x14ac:dyDescent="0.4">
      <c r="A182" s="1">
        <v>44561</v>
      </c>
      <c r="B182" s="24">
        <v>0.22992072571136299</v>
      </c>
      <c r="C182" s="24">
        <v>0.109973327563836</v>
      </c>
      <c r="D182" s="24">
        <v>1.53603688844434E-2</v>
      </c>
      <c r="E182" s="24">
        <v>0.21456035682692001</v>
      </c>
    </row>
    <row r="183" spans="1:5" x14ac:dyDescent="0.4">
      <c r="A183" s="1">
        <v>44592</v>
      </c>
      <c r="B183" s="24">
        <v>0.231743090658524</v>
      </c>
      <c r="C183" s="24">
        <v>0.11100586652877401</v>
      </c>
      <c r="D183" s="24">
        <v>1.6070048147073902E-2</v>
      </c>
      <c r="E183" s="24">
        <v>0.21567304251145</v>
      </c>
    </row>
    <row r="184" spans="1:5" x14ac:dyDescent="0.4">
      <c r="A184" s="1">
        <v>44620</v>
      </c>
      <c r="B184" s="24">
        <v>0.23170787623248301</v>
      </c>
      <c r="C184" s="24">
        <v>0.111788069164411</v>
      </c>
      <c r="D184" s="24">
        <v>1.529245518918E-2</v>
      </c>
      <c r="E184" s="24">
        <v>0.216415421043303</v>
      </c>
    </row>
    <row r="185" spans="1:5" x14ac:dyDescent="0.4">
      <c r="A185" s="1">
        <v>44651</v>
      </c>
      <c r="B185" s="24">
        <v>0.232140531197702</v>
      </c>
      <c r="C185" s="24">
        <v>0.11122470181602299</v>
      </c>
      <c r="D185" s="24">
        <v>1.5263681319994501E-2</v>
      </c>
      <c r="E185" s="24">
        <v>0.216876849877708</v>
      </c>
    </row>
    <row r="186" spans="1:5" x14ac:dyDescent="0.4">
      <c r="A186" s="1">
        <v>44681</v>
      </c>
      <c r="B186" s="24">
        <v>0.238827196013499</v>
      </c>
      <c r="C186" s="24">
        <v>0.11044174173023701</v>
      </c>
      <c r="D186" s="24">
        <v>1.15605834516797E-2</v>
      </c>
      <c r="E186" s="24">
        <v>0.22726661256181899</v>
      </c>
    </row>
    <row r="187" spans="1:5" x14ac:dyDescent="0.4">
      <c r="A187" s="1">
        <v>44712</v>
      </c>
      <c r="B187" s="24">
        <v>0.24139307966999801</v>
      </c>
      <c r="C187" s="24">
        <v>0.109277536090039</v>
      </c>
      <c r="D187" s="24">
        <v>7.6786322699432701E-4</v>
      </c>
      <c r="E187" s="24">
        <v>0.240625216443004</v>
      </c>
    </row>
    <row r="188" spans="1:5" x14ac:dyDescent="0.4">
      <c r="A188" s="1">
        <v>44742</v>
      </c>
      <c r="B188" s="24">
        <v>0.24206833338965</v>
      </c>
      <c r="C188" s="24">
        <v>0.10727384368057501</v>
      </c>
      <c r="D188" s="24">
        <v>-5.33715704117688E-3</v>
      </c>
      <c r="E188" s="24">
        <v>0.24740549043082699</v>
      </c>
    </row>
    <row r="189" spans="1:5" x14ac:dyDescent="0.4">
      <c r="A189" s="1">
        <v>44773</v>
      </c>
      <c r="B189" s="24">
        <v>0.24256416215607601</v>
      </c>
      <c r="C189" s="24">
        <v>0.105449628877279</v>
      </c>
      <c r="D189" s="24">
        <v>-1.0521275361702101E-2</v>
      </c>
      <c r="E189" s="24">
        <v>0.25308543751777801</v>
      </c>
    </row>
    <row r="190" spans="1:5" x14ac:dyDescent="0.4">
      <c r="A190" s="1">
        <v>44804</v>
      </c>
      <c r="B190" s="24">
        <v>0.24886074853248299</v>
      </c>
      <c r="C190" s="24">
        <v>0.103487570120623</v>
      </c>
      <c r="D190" s="24">
        <v>-1.7268043582197301E-2</v>
      </c>
      <c r="E190" s="24">
        <v>0.26612879211468099</v>
      </c>
    </row>
    <row r="191" spans="1:5" x14ac:dyDescent="0.4">
      <c r="A191" s="1">
        <v>44834</v>
      </c>
      <c r="B191" s="24">
        <v>0.25313588982185198</v>
      </c>
      <c r="C191" s="24">
        <v>0.10222822416259</v>
      </c>
      <c r="D191" s="24">
        <v>-2.39123536230808E-2</v>
      </c>
      <c r="E191" s="24">
        <v>0.27704824344493301</v>
      </c>
    </row>
    <row r="192" spans="1:5" x14ac:dyDescent="0.4">
      <c r="A192" s="1">
        <v>44865</v>
      </c>
      <c r="B192" s="24">
        <v>0.247872577462942</v>
      </c>
      <c r="C192" s="24">
        <v>9.9549317109500698E-2</v>
      </c>
      <c r="D192" s="24">
        <v>-3.32677186051809E-2</v>
      </c>
      <c r="E192" s="24">
        <v>0.28114029606812202</v>
      </c>
    </row>
    <row r="193" spans="1:5" x14ac:dyDescent="0.4">
      <c r="A193" s="1">
        <v>44895</v>
      </c>
      <c r="B193" s="24">
        <v>0.24719929647483899</v>
      </c>
      <c r="C193" s="24">
        <v>9.7287526594688506E-2</v>
      </c>
      <c r="D193" s="24">
        <v>-3.5301883882099601E-2</v>
      </c>
      <c r="E193" s="24">
        <v>0.282501180356938</v>
      </c>
    </row>
    <row r="194" spans="1:5" x14ac:dyDescent="0.4">
      <c r="A194" s="1">
        <v>44926</v>
      </c>
      <c r="B194" s="24">
        <v>0.24678374111267701</v>
      </c>
      <c r="C194" s="24">
        <v>9.5324648102954102E-2</v>
      </c>
      <c r="D194" s="24">
        <v>-3.8825139096378199E-2</v>
      </c>
      <c r="E194" s="24">
        <v>0.285608880209055</v>
      </c>
    </row>
    <row r="195" spans="1:5" x14ac:dyDescent="0.4">
      <c r="A195" s="1">
        <v>44957</v>
      </c>
      <c r="B195" s="24">
        <v>0.24604209927269199</v>
      </c>
      <c r="C195" s="24">
        <v>9.2884506546405204E-2</v>
      </c>
      <c r="D195" s="24">
        <v>-4.34239347668674E-2</v>
      </c>
      <c r="E195" s="24">
        <v>0.28946603403955901</v>
      </c>
    </row>
    <row r="196" spans="1:5" x14ac:dyDescent="0.4">
      <c r="A196" s="1">
        <v>44985</v>
      </c>
      <c r="B196" s="24">
        <v>0.23873529461062401</v>
      </c>
      <c r="C196" s="24">
        <v>9.0613249664591097E-2</v>
      </c>
      <c r="D196" s="24">
        <v>-4.5217468242873503E-2</v>
      </c>
      <c r="E196" s="24">
        <v>0.28395276285349702</v>
      </c>
    </row>
    <row r="197" spans="1:5" x14ac:dyDescent="0.4">
      <c r="A197" s="1">
        <v>45016</v>
      </c>
      <c r="B197" s="24">
        <v>0.23270716282076401</v>
      </c>
      <c r="C197" s="24">
        <v>8.8733944953078694E-2</v>
      </c>
      <c r="D197" s="24">
        <v>-4.7133209954337001E-2</v>
      </c>
      <c r="E197" s="24">
        <v>0.27984037277510099</v>
      </c>
    </row>
    <row r="198" spans="1:5" x14ac:dyDescent="0.4">
      <c r="A198" s="1">
        <v>45046</v>
      </c>
      <c r="B198" s="24">
        <v>0.22822281365847499</v>
      </c>
      <c r="C198" s="24">
        <v>8.7405917707456204E-2</v>
      </c>
      <c r="D198" s="24">
        <v>-4.2613993657725197E-2</v>
      </c>
      <c r="E198" s="24">
        <v>0.27083680731620002</v>
      </c>
    </row>
    <row r="199" spans="1:5" x14ac:dyDescent="0.4">
      <c r="A199" s="1">
        <v>45077</v>
      </c>
      <c r="B199" s="24">
        <v>0.22078706803506901</v>
      </c>
      <c r="C199" s="24">
        <v>8.6050711139973604E-2</v>
      </c>
      <c r="D199" s="24">
        <v>-3.8625646534717999E-2</v>
      </c>
      <c r="E199" s="24">
        <v>0.25941271456978698</v>
      </c>
    </row>
    <row r="200" spans="1:5" x14ac:dyDescent="0.4">
      <c r="A200" s="1">
        <v>45107</v>
      </c>
      <c r="B200" s="24">
        <v>0.21359185690765101</v>
      </c>
      <c r="C200" s="24">
        <v>8.4637036111102307E-2</v>
      </c>
      <c r="D200" s="24">
        <v>-3.6520628126182703E-2</v>
      </c>
      <c r="E200" s="24">
        <v>0.25011248503383299</v>
      </c>
    </row>
    <row r="201" spans="1:5" x14ac:dyDescent="0.4">
      <c r="A201" s="1">
        <v>45138</v>
      </c>
      <c r="B201" s="24">
        <v>0.20676681225913701</v>
      </c>
      <c r="C201" s="24">
        <v>8.3571245635170002E-2</v>
      </c>
      <c r="D201" s="24">
        <v>-3.1869915829932503E-2</v>
      </c>
      <c r="E201" s="24">
        <v>0.23863672808906899</v>
      </c>
    </row>
    <row r="202" spans="1:5" x14ac:dyDescent="0.4">
      <c r="A202" s="1">
        <v>45169</v>
      </c>
      <c r="B202" s="24">
        <v>0.199300617144718</v>
      </c>
      <c r="C202" s="24">
        <v>8.3086333471839094E-2</v>
      </c>
      <c r="D202" s="24">
        <v>-2.8596907252137101E-2</v>
      </c>
      <c r="E202" s="24">
        <v>0.22789752439685601</v>
      </c>
    </row>
    <row r="203" spans="1:5" x14ac:dyDescent="0.4">
      <c r="A203" s="1">
        <v>45199</v>
      </c>
      <c r="B203" s="24">
        <v>0.18980486917790901</v>
      </c>
      <c r="C203" s="24">
        <v>8.1996475810787603E-2</v>
      </c>
      <c r="D203" s="24">
        <v>-2.5294903478269699E-2</v>
      </c>
      <c r="E203" s="24">
        <v>0.215099772656178</v>
      </c>
    </row>
    <row r="204" spans="1:5" x14ac:dyDescent="0.4">
      <c r="A204" s="1">
        <v>45230</v>
      </c>
      <c r="B204" s="24">
        <v>0.18222914072118501</v>
      </c>
      <c r="C204" s="24">
        <v>8.0346208315773299E-2</v>
      </c>
      <c r="D204" s="24">
        <v>-2.2260617844264301E-2</v>
      </c>
      <c r="E204" s="24">
        <v>0.20448975856544899</v>
      </c>
    </row>
    <row r="205" spans="1:5" x14ac:dyDescent="0.4">
      <c r="A205" s="1">
        <v>45260</v>
      </c>
      <c r="B205" s="24">
        <v>0.177774837608977</v>
      </c>
      <c r="C205" s="24">
        <v>7.8982645960106304E-2</v>
      </c>
      <c r="D205" s="24">
        <v>-1.9149326917057601E-2</v>
      </c>
      <c r="E205" s="24">
        <v>0.19692416452603401</v>
      </c>
    </row>
    <row r="206" spans="1:5" x14ac:dyDescent="0.4">
      <c r="A206" s="1">
        <v>45291</v>
      </c>
      <c r="B206" s="24">
        <v>0.17531930868196999</v>
      </c>
      <c r="C206" s="24">
        <v>7.7646124423634499E-2</v>
      </c>
      <c r="D206" s="24">
        <v>-1.7580853303976601E-2</v>
      </c>
      <c r="E206" s="24">
        <v>0.19290016198594701</v>
      </c>
    </row>
    <row r="207" spans="1:5" x14ac:dyDescent="0.4">
      <c r="A207" s="1">
        <v>45322</v>
      </c>
      <c r="B207" s="24">
        <v>0.17181496625714199</v>
      </c>
      <c r="C207" s="24">
        <v>7.6372554332592005E-2</v>
      </c>
      <c r="D207" s="24">
        <v>-1.8396902283993499E-2</v>
      </c>
      <c r="E207" s="24">
        <v>0.190211868541136</v>
      </c>
    </row>
    <row r="208" spans="1:5" x14ac:dyDescent="0.4">
      <c r="A208" s="1">
        <v>45351</v>
      </c>
      <c r="B208" s="24">
        <v>0.16971222875542699</v>
      </c>
      <c r="C208" s="24">
        <v>7.4852870662834498E-2</v>
      </c>
      <c r="D208" s="24">
        <v>-1.8244725977057001E-2</v>
      </c>
      <c r="E208" s="24">
        <v>0.187956954732484</v>
      </c>
    </row>
    <row r="209" spans="1:5" x14ac:dyDescent="0.4">
      <c r="A209" s="1">
        <v>45382</v>
      </c>
      <c r="B209" s="24">
        <v>0.16833752879672201</v>
      </c>
      <c r="C209" s="24">
        <v>7.3257265682138695E-2</v>
      </c>
      <c r="D209" s="24">
        <v>-1.8280999043867301E-2</v>
      </c>
      <c r="E209" s="24">
        <v>0.18661852784058999</v>
      </c>
    </row>
    <row r="210" spans="1:5" x14ac:dyDescent="0.4">
      <c r="A210" s="1">
        <v>45412</v>
      </c>
      <c r="B210" s="24">
        <v>0.16828025570000099</v>
      </c>
      <c r="C210" s="24">
        <v>7.3857632966200099E-2</v>
      </c>
      <c r="D210" s="24">
        <v>-2.1106486218832501E-2</v>
      </c>
      <c r="E210" s="24">
        <v>0.18938674191883301</v>
      </c>
    </row>
    <row r="211" spans="1:5" x14ac:dyDescent="0.4">
      <c r="A211" s="1">
        <v>45443</v>
      </c>
      <c r="B211" s="24">
        <v>0.169937410839062</v>
      </c>
      <c r="C211" s="24">
        <v>7.4480856409163299E-2</v>
      </c>
      <c r="D211" s="24">
        <v>-1.9851339066600401E-2</v>
      </c>
      <c r="E211" s="24">
        <v>0.189788749905662</v>
      </c>
    </row>
    <row r="212" spans="1:5" x14ac:dyDescent="0.4">
      <c r="A212" s="1">
        <v>45473</v>
      </c>
      <c r="B212" s="24">
        <v>0.16958723209903601</v>
      </c>
      <c r="C212" s="24">
        <v>7.5353976901658098E-2</v>
      </c>
      <c r="D212" s="24">
        <v>-1.72319501025942E-2</v>
      </c>
      <c r="E212" s="24">
        <v>0.18681918220162999</v>
      </c>
    </row>
    <row r="213" spans="1:5" x14ac:dyDescent="0.4">
      <c r="A213" s="1">
        <v>45504</v>
      </c>
      <c r="B213" s="24">
        <v>0.17001579113075099</v>
      </c>
      <c r="C213" s="24">
        <v>7.5855956253512796E-2</v>
      </c>
      <c r="D213" s="24">
        <v>-1.56327291457307E-2</v>
      </c>
      <c r="E213" s="24">
        <v>0.18564852027648199</v>
      </c>
    </row>
    <row r="214" spans="1:5" x14ac:dyDescent="0.4">
      <c r="A214" s="1">
        <v>45535</v>
      </c>
      <c r="B214" s="24">
        <v>0.169851961660343</v>
      </c>
      <c r="C214" s="24">
        <v>7.6271841905992496E-2</v>
      </c>
      <c r="D214" s="24">
        <v>-1.8681995177691198E-2</v>
      </c>
      <c r="E214" s="24">
        <v>0.18853395683803401</v>
      </c>
    </row>
    <row r="215" spans="1:5" x14ac:dyDescent="0.4">
      <c r="A215" s="1">
        <v>45565</v>
      </c>
      <c r="B215" s="24">
        <v>0.17279161497805501</v>
      </c>
      <c r="C215" s="24">
        <v>7.6890607915624298E-2</v>
      </c>
      <c r="D215" s="24">
        <v>-2.1264022987662199E-2</v>
      </c>
      <c r="E215" s="24">
        <v>0.19405563796571801</v>
      </c>
    </row>
    <row r="216" spans="1:5" x14ac:dyDescent="0.4">
      <c r="A216" s="1">
        <v>45596</v>
      </c>
      <c r="B216" s="24">
        <v>0.17206547807188999</v>
      </c>
      <c r="C216" s="24">
        <v>7.4855200695365498E-2</v>
      </c>
      <c r="D216" s="24">
        <v>-2.47825045843337E-2</v>
      </c>
      <c r="E216" s="24">
        <v>0.196847982656224</v>
      </c>
    </row>
    <row r="217" spans="1:5" x14ac:dyDescent="0.4">
      <c r="A217" s="1">
        <v>45626</v>
      </c>
      <c r="B217" s="24">
        <v>0.16959136075549799</v>
      </c>
      <c r="C217" s="24">
        <v>7.2683295591695396E-2</v>
      </c>
      <c r="D217" s="24">
        <v>-2.9946592180355801E-2</v>
      </c>
      <c r="E217" s="24">
        <v>0.199537952935854</v>
      </c>
    </row>
    <row r="218" spans="1:5" x14ac:dyDescent="0.4">
      <c r="A218" s="1">
        <v>45657</v>
      </c>
      <c r="B218" s="24">
        <v>0.16728590869719201</v>
      </c>
      <c r="C218" s="24">
        <v>7.0498074450299097E-2</v>
      </c>
      <c r="D218" s="24">
        <v>-3.5932606593044598E-2</v>
      </c>
      <c r="E218" s="24">
        <v>0.20321851529023699</v>
      </c>
    </row>
    <row r="219" spans="1:5" x14ac:dyDescent="0.4">
      <c r="A219" s="1">
        <v>45688</v>
      </c>
      <c r="B219" s="24">
        <v>0.16494005930258601</v>
      </c>
      <c r="C219" s="24">
        <v>6.8613487179777694E-2</v>
      </c>
      <c r="D219" s="24">
        <v>-3.9630342989362501E-2</v>
      </c>
      <c r="E219" s="24">
        <v>0.20457040229194901</v>
      </c>
    </row>
    <row r="220" spans="1:5" x14ac:dyDescent="0.4">
      <c r="A220" s="1">
        <v>45716</v>
      </c>
      <c r="B220" s="24">
        <v>0.16246874308453399</v>
      </c>
      <c r="C220" s="24">
        <v>6.6417428476256493E-2</v>
      </c>
      <c r="D220" s="24">
        <v>-4.1539835349293799E-2</v>
      </c>
      <c r="E220" s="24">
        <v>0.204008578433828</v>
      </c>
    </row>
    <row r="221" spans="1:5" x14ac:dyDescent="0.4">
      <c r="A221" s="1">
        <v>45747</v>
      </c>
      <c r="B221" s="24">
        <v>0.15796680820940601</v>
      </c>
      <c r="C221" s="24">
        <v>6.5022955108762104E-2</v>
      </c>
      <c r="D221" s="24">
        <v>-4.1061484781342097E-2</v>
      </c>
      <c r="E221" s="24">
        <v>0.19902829299074801</v>
      </c>
    </row>
    <row r="222" spans="1:5" x14ac:dyDescent="0.4">
      <c r="A222" s="1">
        <v>45777</v>
      </c>
      <c r="B222" s="24">
        <v>0.15476962467102101</v>
      </c>
      <c r="C222" s="24">
        <v>6.3320205909331101E-2</v>
      </c>
      <c r="D222" s="24">
        <v>-4.0020516412544699E-2</v>
      </c>
      <c r="E222" s="24">
        <v>0.19479014108356599</v>
      </c>
    </row>
    <row r="223" spans="1:5" x14ac:dyDescent="0.4">
      <c r="A223" s="1">
        <v>45808</v>
      </c>
      <c r="B223" s="24">
        <v>0.15078053802753699</v>
      </c>
      <c r="C223" s="24">
        <v>6.1882779195380801E-2</v>
      </c>
      <c r="D223" s="24">
        <v>-4.1088132152476198E-2</v>
      </c>
      <c r="E223" s="24">
        <v>0.191868670180013</v>
      </c>
    </row>
    <row r="224" spans="1:5" x14ac:dyDescent="0.4">
      <c r="A224" s="1">
        <v>45838</v>
      </c>
      <c r="B224" s="24">
        <v>0.146662684271575</v>
      </c>
      <c r="C224" s="24">
        <v>5.9874336882208501E-2</v>
      </c>
      <c r="D224" s="24">
        <v>-4.1730551875323603E-2</v>
      </c>
      <c r="E224" s="24">
        <v>0.18839323614689801</v>
      </c>
    </row>
    <row r="225" spans="1:5" x14ac:dyDescent="0.4">
      <c r="A225" s="1">
        <v>45869</v>
      </c>
      <c r="B225" s="24">
        <v>0.143741579460231</v>
      </c>
      <c r="C225" s="24">
        <v>5.8125343300211997E-2</v>
      </c>
      <c r="D225" s="24">
        <v>-4.3692575873990599E-2</v>
      </c>
      <c r="E225" s="24">
        <v>0.187434155334221</v>
      </c>
    </row>
    <row r="226" spans="1:5" x14ac:dyDescent="0.4">
      <c r="A226" s="1">
        <v>45900</v>
      </c>
      <c r="B226" s="24">
        <v>0.14161532644913599</v>
      </c>
      <c r="C226" s="24">
        <v>5.6467847380813299E-2</v>
      </c>
      <c r="D226" s="24">
        <v>-4.2344883166997901E-2</v>
      </c>
      <c r="E226" s="24">
        <v>0.18396020961613399</v>
      </c>
    </row>
    <row r="227" spans="1:5" x14ac:dyDescent="0.4">
      <c r="A227" s="1">
        <v>45930</v>
      </c>
      <c r="B227" s="24">
        <v>0.139949964281155</v>
      </c>
      <c r="C227" s="24">
        <v>5.53161463411945E-2</v>
      </c>
      <c r="D227" s="24">
        <v>-4.25597062412554E-2</v>
      </c>
      <c r="E227" s="24">
        <v>0.18250967052240999</v>
      </c>
    </row>
    <row r="228" spans="1:5" x14ac:dyDescent="0.4">
      <c r="A228" s="1">
        <v>45961</v>
      </c>
      <c r="B228" s="24">
        <v>0.141926496379116</v>
      </c>
      <c r="C228" s="24">
        <v>5.6133561894978097E-2</v>
      </c>
      <c r="D228" s="24">
        <v>-4.25220426378079E-2</v>
      </c>
      <c r="E228" s="24">
        <v>0.18444853901692401</v>
      </c>
    </row>
    <row r="229" spans="1:5" x14ac:dyDescent="0.4">
      <c r="A229" s="1">
        <v>45991</v>
      </c>
      <c r="B229" s="24">
        <v>0.14492249714647601</v>
      </c>
      <c r="C229" s="24">
        <v>5.6637649193281299E-2</v>
      </c>
      <c r="D229" s="24">
        <v>-4.2452823895808303E-2</v>
      </c>
      <c r="E229" s="24">
        <v>0.18737532104228399</v>
      </c>
    </row>
    <row r="230" spans="1:5" x14ac:dyDescent="0.4">
      <c r="A230" s="1">
        <v>46022</v>
      </c>
      <c r="B230" s="24">
        <v>0.147785902511541</v>
      </c>
      <c r="C230" s="24">
        <v>5.7504192172569302E-2</v>
      </c>
      <c r="D230" s="24">
        <v>-4.1843196913984901E-2</v>
      </c>
      <c r="E230" s="24">
        <v>0.189629099425526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0"/>
  <sheetViews>
    <sheetView workbookViewId="0">
      <selection activeCell="E229" sqref="E2:E229"/>
    </sheetView>
  </sheetViews>
  <sheetFormatPr defaultRowHeight="13.9" x14ac:dyDescent="0.4"/>
  <cols>
    <col min="1" max="1" width="10.46484375" bestFit="1" customWidth="1"/>
  </cols>
  <sheetData>
    <row r="1" spans="1:5" x14ac:dyDescent="0.4">
      <c r="D1" s="2" t="s">
        <v>18</v>
      </c>
    </row>
    <row r="2" spans="1:5" x14ac:dyDescent="0.4">
      <c r="A2" s="1">
        <v>39082</v>
      </c>
      <c r="B2" t="s">
        <v>17</v>
      </c>
      <c r="C2" t="s">
        <v>17</v>
      </c>
      <c r="D2" t="s">
        <v>17</v>
      </c>
      <c r="E2" t="s">
        <v>17</v>
      </c>
    </row>
    <row r="3" spans="1:5" x14ac:dyDescent="0.4">
      <c r="A3" s="1">
        <v>39113</v>
      </c>
      <c r="B3" t="s">
        <v>17</v>
      </c>
      <c r="C3" t="s">
        <v>17</v>
      </c>
      <c r="D3" t="s">
        <v>17</v>
      </c>
      <c r="E3" t="s">
        <v>17</v>
      </c>
    </row>
    <row r="4" spans="1:5" x14ac:dyDescent="0.4">
      <c r="A4" s="1">
        <v>39141</v>
      </c>
      <c r="B4" t="s">
        <v>17</v>
      </c>
      <c r="C4" t="s">
        <v>17</v>
      </c>
      <c r="D4" t="s">
        <v>17</v>
      </c>
      <c r="E4" t="s">
        <v>17</v>
      </c>
    </row>
    <row r="5" spans="1:5" x14ac:dyDescent="0.4">
      <c r="A5" s="1">
        <v>39172</v>
      </c>
      <c r="B5" t="s">
        <v>17</v>
      </c>
      <c r="C5" t="s">
        <v>17</v>
      </c>
      <c r="D5" t="s">
        <v>17</v>
      </c>
      <c r="E5" t="s">
        <v>17</v>
      </c>
    </row>
    <row r="6" spans="1:5" x14ac:dyDescent="0.4">
      <c r="A6" s="1">
        <v>39202</v>
      </c>
      <c r="B6" t="s">
        <v>17</v>
      </c>
      <c r="C6" t="s">
        <v>17</v>
      </c>
      <c r="D6" t="s">
        <v>17</v>
      </c>
      <c r="E6" t="s">
        <v>17</v>
      </c>
    </row>
    <row r="7" spans="1:5" x14ac:dyDescent="0.4">
      <c r="A7" s="1">
        <v>39233</v>
      </c>
      <c r="B7" t="s">
        <v>17</v>
      </c>
      <c r="C7" t="s">
        <v>17</v>
      </c>
      <c r="D7" t="s">
        <v>17</v>
      </c>
      <c r="E7" t="s">
        <v>17</v>
      </c>
    </row>
    <row r="8" spans="1:5" x14ac:dyDescent="0.4">
      <c r="A8" s="1">
        <v>39263</v>
      </c>
      <c r="B8" t="s">
        <v>17</v>
      </c>
      <c r="C8" t="s">
        <v>17</v>
      </c>
      <c r="D8" t="s">
        <v>17</v>
      </c>
      <c r="E8" t="s">
        <v>17</v>
      </c>
    </row>
    <row r="9" spans="1:5" x14ac:dyDescent="0.4">
      <c r="A9" s="1">
        <v>39294</v>
      </c>
      <c r="B9" t="s">
        <v>17</v>
      </c>
      <c r="C9" t="s">
        <v>17</v>
      </c>
      <c r="D9" t="s">
        <v>17</v>
      </c>
      <c r="E9" t="s">
        <v>17</v>
      </c>
    </row>
    <row r="10" spans="1:5" x14ac:dyDescent="0.4">
      <c r="A10" s="1">
        <v>39325</v>
      </c>
      <c r="B10" t="s">
        <v>17</v>
      </c>
      <c r="C10" t="s">
        <v>17</v>
      </c>
      <c r="D10" t="s">
        <v>17</v>
      </c>
      <c r="E10" t="s">
        <v>17</v>
      </c>
    </row>
    <row r="11" spans="1:5" x14ac:dyDescent="0.4">
      <c r="A11" s="1">
        <v>39355</v>
      </c>
      <c r="B11" t="s">
        <v>17</v>
      </c>
      <c r="C11" t="s">
        <v>17</v>
      </c>
      <c r="D11" t="s">
        <v>17</v>
      </c>
      <c r="E11" t="s">
        <v>17</v>
      </c>
    </row>
    <row r="12" spans="1:5" x14ac:dyDescent="0.4">
      <c r="A12" s="1">
        <v>39386</v>
      </c>
      <c r="B12" t="s">
        <v>17</v>
      </c>
      <c r="C12" t="s">
        <v>17</v>
      </c>
      <c r="D12" t="s">
        <v>17</v>
      </c>
      <c r="E12" t="s">
        <v>17</v>
      </c>
    </row>
    <row r="13" spans="1:5" x14ac:dyDescent="0.4">
      <c r="A13" s="1">
        <v>39416</v>
      </c>
      <c r="B13" t="s">
        <v>17</v>
      </c>
      <c r="C13" t="s">
        <v>17</v>
      </c>
      <c r="D13" t="s">
        <v>17</v>
      </c>
      <c r="E13" t="s">
        <v>17</v>
      </c>
    </row>
    <row r="14" spans="1:5" x14ac:dyDescent="0.4">
      <c r="A14" s="1">
        <v>39447</v>
      </c>
      <c r="B14" t="s">
        <v>17</v>
      </c>
      <c r="C14" t="s">
        <v>17</v>
      </c>
      <c r="D14" t="s">
        <v>17</v>
      </c>
      <c r="E14" t="s">
        <v>17</v>
      </c>
    </row>
    <row r="15" spans="1:5" x14ac:dyDescent="0.4">
      <c r="A15" s="1">
        <v>39478</v>
      </c>
      <c r="B15" t="s">
        <v>17</v>
      </c>
      <c r="C15" t="s">
        <v>17</v>
      </c>
      <c r="D15" t="s">
        <v>17</v>
      </c>
      <c r="E15" t="s">
        <v>17</v>
      </c>
    </row>
    <row r="16" spans="1:5" x14ac:dyDescent="0.4">
      <c r="A16" s="1">
        <v>39507</v>
      </c>
      <c r="B16" t="s">
        <v>17</v>
      </c>
      <c r="C16" t="s">
        <v>17</v>
      </c>
      <c r="D16" t="s">
        <v>17</v>
      </c>
      <c r="E16" t="s">
        <v>17</v>
      </c>
    </row>
    <row r="17" spans="1:5" x14ac:dyDescent="0.4">
      <c r="A17" s="1">
        <v>39538</v>
      </c>
      <c r="B17" t="s">
        <v>17</v>
      </c>
      <c r="C17" t="s">
        <v>17</v>
      </c>
      <c r="D17" t="s">
        <v>17</v>
      </c>
      <c r="E17" t="s">
        <v>17</v>
      </c>
    </row>
    <row r="18" spans="1:5" x14ac:dyDescent="0.4">
      <c r="A18" s="1">
        <v>39568</v>
      </c>
      <c r="B18" t="s">
        <v>17</v>
      </c>
      <c r="C18" t="s">
        <v>17</v>
      </c>
      <c r="D18" t="s">
        <v>17</v>
      </c>
      <c r="E18" t="s">
        <v>17</v>
      </c>
    </row>
    <row r="19" spans="1:5" x14ac:dyDescent="0.4">
      <c r="A19" s="1">
        <v>39599</v>
      </c>
      <c r="B19" t="s">
        <v>17</v>
      </c>
      <c r="C19" t="s">
        <v>17</v>
      </c>
      <c r="D19" t="s">
        <v>17</v>
      </c>
      <c r="E19" t="s">
        <v>17</v>
      </c>
    </row>
    <row r="20" spans="1:5" x14ac:dyDescent="0.4">
      <c r="A20" s="1">
        <v>39629</v>
      </c>
      <c r="B20" t="s">
        <v>17</v>
      </c>
      <c r="C20" t="s">
        <v>17</v>
      </c>
      <c r="D20" t="s">
        <v>17</v>
      </c>
      <c r="E20" t="s">
        <v>17</v>
      </c>
    </row>
    <row r="21" spans="1:5" x14ac:dyDescent="0.4">
      <c r="A21" s="1">
        <v>39660</v>
      </c>
      <c r="B21" t="s">
        <v>17</v>
      </c>
      <c r="C21" t="s">
        <v>17</v>
      </c>
      <c r="D21" t="s">
        <v>17</v>
      </c>
      <c r="E21" t="s">
        <v>17</v>
      </c>
    </row>
    <row r="22" spans="1:5" x14ac:dyDescent="0.4">
      <c r="A22" s="1">
        <v>39691</v>
      </c>
      <c r="B22" t="s">
        <v>17</v>
      </c>
      <c r="C22" t="s">
        <v>17</v>
      </c>
      <c r="D22" t="s">
        <v>17</v>
      </c>
      <c r="E22" t="s">
        <v>17</v>
      </c>
    </row>
    <row r="23" spans="1:5" x14ac:dyDescent="0.4">
      <c r="A23" s="1">
        <v>39721</v>
      </c>
      <c r="B23" t="s">
        <v>17</v>
      </c>
      <c r="C23" t="s">
        <v>17</v>
      </c>
      <c r="D23" t="s">
        <v>17</v>
      </c>
      <c r="E23" t="s">
        <v>17</v>
      </c>
    </row>
    <row r="24" spans="1:5" x14ac:dyDescent="0.4">
      <c r="A24" s="1">
        <v>39752</v>
      </c>
      <c r="B24" t="s">
        <v>17</v>
      </c>
      <c r="C24" t="s">
        <v>17</v>
      </c>
      <c r="D24" t="s">
        <v>17</v>
      </c>
      <c r="E24" t="s">
        <v>17</v>
      </c>
    </row>
    <row r="25" spans="1:5" x14ac:dyDescent="0.4">
      <c r="A25" s="1">
        <v>39782</v>
      </c>
      <c r="B25" t="s">
        <v>17</v>
      </c>
      <c r="C25" t="s">
        <v>17</v>
      </c>
      <c r="D25" t="s">
        <v>17</v>
      </c>
      <c r="E25" t="s">
        <v>17</v>
      </c>
    </row>
    <row r="26" spans="1:5" x14ac:dyDescent="0.4">
      <c r="A26" s="1">
        <v>39813</v>
      </c>
      <c r="B26" t="s">
        <v>17</v>
      </c>
      <c r="C26" t="s">
        <v>17</v>
      </c>
      <c r="D26" t="s">
        <v>17</v>
      </c>
      <c r="E26" t="s">
        <v>17</v>
      </c>
    </row>
    <row r="27" spans="1:5" x14ac:dyDescent="0.4">
      <c r="A27" s="1">
        <v>39844</v>
      </c>
      <c r="B27">
        <v>0.20110903701506999</v>
      </c>
      <c r="C27">
        <v>0.16218618497339399</v>
      </c>
      <c r="D27">
        <v>9.7693211633336496E-2</v>
      </c>
      <c r="E27">
        <v>4.3475312677811198E-2</v>
      </c>
    </row>
    <row r="28" spans="1:5" x14ac:dyDescent="0.4">
      <c r="A28" s="1">
        <v>39872</v>
      </c>
      <c r="B28">
        <v>0.16004426588252199</v>
      </c>
      <c r="C28">
        <v>0.116999059646655</v>
      </c>
      <c r="D28">
        <v>1.0778834348731199E-2</v>
      </c>
      <c r="E28">
        <v>5.33065185915527E-2</v>
      </c>
    </row>
    <row r="29" spans="1:5" x14ac:dyDescent="0.4">
      <c r="A29" s="1">
        <v>39903</v>
      </c>
      <c r="B29">
        <v>0.201499161365114</v>
      </c>
      <c r="C29">
        <v>9.5198729855441602E-2</v>
      </c>
      <c r="D29">
        <v>-5.6662761346452303E-2</v>
      </c>
      <c r="E29">
        <v>-3.3159795831567501E-2</v>
      </c>
    </row>
    <row r="30" spans="1:5" x14ac:dyDescent="0.4">
      <c r="A30" s="1">
        <v>39933</v>
      </c>
      <c r="B30">
        <v>8.9402260153568294E-3</v>
      </c>
      <c r="C30">
        <v>-0.112332770442349</v>
      </c>
      <c r="D30">
        <v>-0.27366630992171498</v>
      </c>
      <c r="E30">
        <v>0.10538371915701999</v>
      </c>
    </row>
    <row r="31" spans="1:5" x14ac:dyDescent="0.4">
      <c r="A31" s="1">
        <v>39964</v>
      </c>
      <c r="B31">
        <v>2.4788617193460202E-2</v>
      </c>
      <c r="C31">
        <v>-0.11512609035657299</v>
      </c>
      <c r="D31">
        <v>-0.22025403204956701</v>
      </c>
      <c r="E31">
        <v>7.3428448350448705E-2</v>
      </c>
    </row>
    <row r="32" spans="1:5" x14ac:dyDescent="0.4">
      <c r="A32" s="1">
        <v>39994</v>
      </c>
      <c r="B32">
        <v>-1.55811782112902E-2</v>
      </c>
      <c r="C32">
        <v>-3.3938547797147202E-2</v>
      </c>
      <c r="D32">
        <v>-0.35151551514147999</v>
      </c>
      <c r="E32">
        <v>8.1241873340082801E-2</v>
      </c>
    </row>
    <row r="33" spans="1:5" x14ac:dyDescent="0.4">
      <c r="A33" s="1">
        <v>40025</v>
      </c>
      <c r="B33">
        <v>-2.8974895304341299E-2</v>
      </c>
      <c r="C33">
        <v>7.7948736239019503E-2</v>
      </c>
      <c r="D33">
        <v>-0.24558663974508799</v>
      </c>
      <c r="E33">
        <v>0.18063122785280999</v>
      </c>
    </row>
    <row r="34" spans="1:5" x14ac:dyDescent="0.4">
      <c r="A34" s="1">
        <v>40056</v>
      </c>
      <c r="B34">
        <v>0.112386927773443</v>
      </c>
      <c r="C34">
        <v>2.1298372588534498E-2</v>
      </c>
      <c r="D34">
        <v>-0.18567758369276</v>
      </c>
      <c r="E34">
        <v>0.17830495024109699</v>
      </c>
    </row>
    <row r="35" spans="1:5" x14ac:dyDescent="0.4">
      <c r="A35" s="1">
        <v>40086</v>
      </c>
      <c r="B35">
        <v>0.22208092142264099</v>
      </c>
      <c r="C35">
        <v>0.17319409500762301</v>
      </c>
      <c r="D35">
        <v>-2.6606630509794098E-2</v>
      </c>
      <c r="E35">
        <v>2.9764556263390501E-2</v>
      </c>
    </row>
    <row r="36" spans="1:5" x14ac:dyDescent="0.4">
      <c r="A36" s="1">
        <v>40117</v>
      </c>
      <c r="B36">
        <v>0.23337955552838899</v>
      </c>
      <c r="C36">
        <v>0.28463420435057502</v>
      </c>
      <c r="D36">
        <v>4.6956269197363801E-2</v>
      </c>
      <c r="E36">
        <v>2.9486377212070099E-2</v>
      </c>
    </row>
    <row r="37" spans="1:5" x14ac:dyDescent="0.4">
      <c r="A37" s="1">
        <v>40147</v>
      </c>
      <c r="B37">
        <v>0.25007291763010397</v>
      </c>
      <c r="C37">
        <v>0.21441756720073801</v>
      </c>
      <c r="D37">
        <v>0.17649477939584499</v>
      </c>
      <c r="E37">
        <v>2.9019608234955401E-2</v>
      </c>
    </row>
    <row r="38" spans="1:5" x14ac:dyDescent="0.4">
      <c r="A38" s="1">
        <v>40178</v>
      </c>
      <c r="B38">
        <v>0.264881738153808</v>
      </c>
      <c r="C38">
        <v>0.183703469566255</v>
      </c>
      <c r="D38">
        <v>0.171391112400546</v>
      </c>
      <c r="E38">
        <v>4.75277756896723E-2</v>
      </c>
    </row>
    <row r="39" spans="1:5" x14ac:dyDescent="0.4">
      <c r="A39" s="1">
        <v>40209</v>
      </c>
      <c r="B39">
        <v>0.235640193847381</v>
      </c>
      <c r="C39">
        <v>0.23712560332796101</v>
      </c>
      <c r="D39">
        <v>0.23455570407659701</v>
      </c>
      <c r="E39">
        <v>6.3005378835896006E-2</v>
      </c>
    </row>
    <row r="40" spans="1:5" x14ac:dyDescent="0.4">
      <c r="A40" s="1">
        <v>40237</v>
      </c>
      <c r="B40">
        <v>0.32830698171025402</v>
      </c>
      <c r="C40">
        <v>0.22725759300883999</v>
      </c>
      <c r="D40">
        <v>0.31341886757495402</v>
      </c>
      <c r="E40">
        <v>7.1799500491204898E-2</v>
      </c>
    </row>
    <row r="41" spans="1:5" x14ac:dyDescent="0.4">
      <c r="A41" s="1">
        <v>40268</v>
      </c>
      <c r="B41">
        <v>0.41557222868404697</v>
      </c>
      <c r="C41">
        <v>0.30086552529008098</v>
      </c>
      <c r="D41">
        <v>0.30862704999125901</v>
      </c>
      <c r="E41">
        <v>3.4720503787460499E-2</v>
      </c>
    </row>
    <row r="42" spans="1:5" x14ac:dyDescent="0.4">
      <c r="A42" s="1">
        <v>40298</v>
      </c>
      <c r="B42">
        <v>0.40596639988628402</v>
      </c>
      <c r="C42">
        <v>0.33515448235477602</v>
      </c>
      <c r="D42">
        <v>0.13135931772873199</v>
      </c>
      <c r="E42">
        <v>0.100153199019856</v>
      </c>
    </row>
    <row r="43" spans="1:5" x14ac:dyDescent="0.4">
      <c r="A43" s="1">
        <v>40329</v>
      </c>
      <c r="B43">
        <v>0.39149724438998101</v>
      </c>
      <c r="C43">
        <v>0.228082669193819</v>
      </c>
      <c r="D43">
        <v>0.15508355593607001</v>
      </c>
      <c r="E43">
        <v>0.109576500789079</v>
      </c>
    </row>
    <row r="44" spans="1:5" x14ac:dyDescent="0.4">
      <c r="A44" s="1">
        <v>40359</v>
      </c>
      <c r="B44">
        <v>0.48436052076210101</v>
      </c>
      <c r="C44">
        <v>0.267485594836323</v>
      </c>
      <c r="D44">
        <v>0.336045522518995</v>
      </c>
      <c r="E44">
        <v>0.111056727603194</v>
      </c>
    </row>
    <row r="45" spans="1:5" x14ac:dyDescent="0.4">
      <c r="A45" s="1">
        <v>40390</v>
      </c>
      <c r="B45">
        <v>0.46919959545773599</v>
      </c>
      <c r="C45">
        <v>0.27706435981966898</v>
      </c>
      <c r="D45">
        <v>0.40394709214270702</v>
      </c>
      <c r="E45">
        <v>0.124045321587907</v>
      </c>
    </row>
    <row r="46" spans="1:5" x14ac:dyDescent="0.4">
      <c r="A46" s="1">
        <v>40421</v>
      </c>
      <c r="B46">
        <v>0.424032849986828</v>
      </c>
      <c r="C46">
        <v>0.21048223474136499</v>
      </c>
      <c r="D46">
        <v>0.52825763885250498</v>
      </c>
      <c r="E46">
        <v>0.100276878787768</v>
      </c>
    </row>
    <row r="47" spans="1:5" x14ac:dyDescent="0.4">
      <c r="A47" s="1">
        <v>40451</v>
      </c>
      <c r="B47">
        <v>0.44422733961081701</v>
      </c>
      <c r="C47">
        <v>0.27102482677977402</v>
      </c>
      <c r="D47">
        <v>0.590745140325729</v>
      </c>
      <c r="E47">
        <v>9.5320789034865502E-2</v>
      </c>
    </row>
    <row r="48" spans="1:5" x14ac:dyDescent="0.4">
      <c r="A48" s="1">
        <v>40482</v>
      </c>
      <c r="B48">
        <v>0.519628856765464</v>
      </c>
      <c r="C48">
        <v>0.31296714214432603</v>
      </c>
      <c r="D48">
        <v>0.49928768530630202</v>
      </c>
      <c r="E48">
        <v>4.9536358822806596E-3</v>
      </c>
    </row>
    <row r="49" spans="1:5" x14ac:dyDescent="0.4">
      <c r="A49" s="1">
        <v>40512</v>
      </c>
      <c r="B49">
        <v>0.54542395787771303</v>
      </c>
      <c r="C49">
        <v>0.45897139201564302</v>
      </c>
      <c r="D49">
        <v>0.63544467948925298</v>
      </c>
      <c r="E49">
        <v>0.10872745657524301</v>
      </c>
    </row>
    <row r="50" spans="1:5" x14ac:dyDescent="0.4">
      <c r="A50" s="1">
        <v>40543</v>
      </c>
      <c r="B50">
        <v>0.51147944995613204</v>
      </c>
      <c r="C50">
        <v>0.37554223849996998</v>
      </c>
      <c r="D50">
        <v>0.66399270296753798</v>
      </c>
      <c r="E50">
        <v>8.4071509004220696E-2</v>
      </c>
    </row>
    <row r="51" spans="1:5" x14ac:dyDescent="0.4">
      <c r="A51" s="1">
        <v>40574</v>
      </c>
      <c r="B51">
        <v>0.503227485651072</v>
      </c>
      <c r="C51">
        <v>0.304685286980244</v>
      </c>
      <c r="D51">
        <v>0.78066765976221497</v>
      </c>
      <c r="E51">
        <v>7.5330981954869897E-2</v>
      </c>
    </row>
    <row r="52" spans="1:5" x14ac:dyDescent="0.4">
      <c r="A52" s="1">
        <v>40602</v>
      </c>
      <c r="B52">
        <v>0.514637736486522</v>
      </c>
      <c r="C52">
        <v>0.413985405640794</v>
      </c>
      <c r="D52">
        <v>0.73140439647816602</v>
      </c>
      <c r="E52">
        <v>0.107664469327289</v>
      </c>
    </row>
    <row r="53" spans="1:5" x14ac:dyDescent="0.4">
      <c r="A53" s="1">
        <v>40633</v>
      </c>
      <c r="B53">
        <v>0.58649385293380496</v>
      </c>
      <c r="C53">
        <v>0.47529242287946999</v>
      </c>
      <c r="D53">
        <v>0.65799795717776699</v>
      </c>
      <c r="E53">
        <v>0.107298060499481</v>
      </c>
    </row>
    <row r="54" spans="1:5" x14ac:dyDescent="0.4">
      <c r="A54" s="1">
        <v>40663</v>
      </c>
      <c r="B54">
        <v>0.60890270374238697</v>
      </c>
      <c r="C54">
        <v>0.54544237860368805</v>
      </c>
      <c r="D54">
        <v>0.59593726202275799</v>
      </c>
      <c r="E54">
        <v>0.34529206162631298</v>
      </c>
    </row>
    <row r="55" spans="1:5" x14ac:dyDescent="0.4">
      <c r="A55" s="1">
        <v>40694</v>
      </c>
      <c r="B55">
        <v>0.51397449357255598</v>
      </c>
      <c r="C55">
        <v>0.39004384452164098</v>
      </c>
      <c r="D55">
        <v>0.78625275191722099</v>
      </c>
      <c r="E55">
        <v>0.37454152440528898</v>
      </c>
    </row>
    <row r="56" spans="1:5" x14ac:dyDescent="0.4">
      <c r="A56" s="1">
        <v>40724</v>
      </c>
      <c r="B56">
        <v>0.52689265028458798</v>
      </c>
      <c r="C56">
        <v>0.31797456209465902</v>
      </c>
      <c r="D56">
        <v>0.63489694918987105</v>
      </c>
      <c r="E56">
        <v>0.37303965151725899</v>
      </c>
    </row>
    <row r="57" spans="1:5" x14ac:dyDescent="0.4">
      <c r="A57" s="1">
        <v>40755</v>
      </c>
      <c r="B57">
        <v>0.56286999420445305</v>
      </c>
      <c r="C57">
        <v>0.30763960906777599</v>
      </c>
      <c r="D57">
        <v>0.53712552108498102</v>
      </c>
      <c r="E57">
        <v>0.35627282461186</v>
      </c>
    </row>
    <row r="58" spans="1:5" x14ac:dyDescent="0.4">
      <c r="A58" s="1">
        <v>40786</v>
      </c>
      <c r="B58">
        <v>0.55423400582083104</v>
      </c>
      <c r="C58">
        <v>0.23686425589549301</v>
      </c>
      <c r="D58">
        <v>0.23461173504329899</v>
      </c>
      <c r="E58">
        <v>0.29499951754217402</v>
      </c>
    </row>
    <row r="59" spans="1:5" x14ac:dyDescent="0.4">
      <c r="A59" s="1">
        <v>40816</v>
      </c>
      <c r="B59">
        <v>0.66655964188560501</v>
      </c>
      <c r="C59">
        <v>0.38624993790657802</v>
      </c>
      <c r="D59">
        <v>0.36908630441326701</v>
      </c>
      <c r="E59">
        <v>0.29012746558611902</v>
      </c>
    </row>
    <row r="60" spans="1:5" x14ac:dyDescent="0.4">
      <c r="A60" s="1">
        <v>40847</v>
      </c>
      <c r="B60">
        <v>0.73471746863655996</v>
      </c>
      <c r="C60">
        <v>0.43671348455409298</v>
      </c>
      <c r="D60">
        <v>0.48646075375247899</v>
      </c>
      <c r="E60">
        <v>0.35393193913165799</v>
      </c>
    </row>
    <row r="61" spans="1:5" x14ac:dyDescent="0.4">
      <c r="A61" s="1">
        <v>40877</v>
      </c>
      <c r="B61">
        <v>0.74662104208073898</v>
      </c>
      <c r="C61">
        <v>0.44045812199356499</v>
      </c>
      <c r="D61">
        <v>0.42821392143342402</v>
      </c>
      <c r="E61">
        <v>0.34687901218470102</v>
      </c>
    </row>
    <row r="62" spans="1:5" x14ac:dyDescent="0.4">
      <c r="A62" s="1">
        <v>40908</v>
      </c>
      <c r="B62">
        <v>0.75294836122853903</v>
      </c>
      <c r="C62">
        <v>0.455667854350435</v>
      </c>
      <c r="D62">
        <v>0.60576015181519405</v>
      </c>
      <c r="E62">
        <v>0.40044881400581001</v>
      </c>
    </row>
    <row r="63" spans="1:5" x14ac:dyDescent="0.4">
      <c r="A63" s="1">
        <v>40939</v>
      </c>
      <c r="B63">
        <v>0.78278878874628899</v>
      </c>
      <c r="C63">
        <v>0.45719544664288803</v>
      </c>
      <c r="D63">
        <v>0.73591692988379498</v>
      </c>
      <c r="E63">
        <v>0.40421069047955299</v>
      </c>
    </row>
    <row r="64" spans="1:5" x14ac:dyDescent="0.4">
      <c r="A64" s="1">
        <v>40968</v>
      </c>
      <c r="B64">
        <v>0.72541421767172098</v>
      </c>
      <c r="C64">
        <v>0.412467738243255</v>
      </c>
      <c r="D64">
        <v>0.66958769968773102</v>
      </c>
      <c r="E64">
        <v>0.35328514087604901</v>
      </c>
    </row>
    <row r="65" spans="1:5" x14ac:dyDescent="0.4">
      <c r="A65" s="1">
        <v>40999</v>
      </c>
      <c r="B65">
        <v>0.68834688203515804</v>
      </c>
      <c r="C65">
        <v>0.46482353402332799</v>
      </c>
      <c r="D65">
        <v>0.786249204017334</v>
      </c>
      <c r="E65">
        <v>0.30814878883660701</v>
      </c>
    </row>
    <row r="66" spans="1:5" x14ac:dyDescent="0.4">
      <c r="A66" s="1">
        <v>41029</v>
      </c>
      <c r="B66">
        <v>0.33900133125012299</v>
      </c>
      <c r="C66">
        <v>0.14274278556776199</v>
      </c>
      <c r="D66">
        <v>0.61479700250860803</v>
      </c>
      <c r="E66">
        <v>0.41810795387424998</v>
      </c>
    </row>
    <row r="67" spans="1:5" x14ac:dyDescent="0.4">
      <c r="A67" s="1">
        <v>41060</v>
      </c>
      <c r="B67">
        <v>0.32811719777502502</v>
      </c>
      <c r="C67">
        <v>0.17495046757655699</v>
      </c>
      <c r="D67">
        <v>0.59169787560157505</v>
      </c>
      <c r="E67">
        <v>0.43629886377545801</v>
      </c>
    </row>
    <row r="68" spans="1:5" x14ac:dyDescent="0.4">
      <c r="A68" s="1">
        <v>41090</v>
      </c>
      <c r="B68">
        <v>0.39566421398609403</v>
      </c>
      <c r="C68">
        <v>0.221499596863828</v>
      </c>
      <c r="D68">
        <v>0.57430356435351004</v>
      </c>
      <c r="E68">
        <v>0.40947381430129498</v>
      </c>
    </row>
    <row r="69" spans="1:5" x14ac:dyDescent="0.4">
      <c r="A69" s="1">
        <v>41121</v>
      </c>
      <c r="B69">
        <v>0.48873665776403402</v>
      </c>
      <c r="C69">
        <v>0.24788237006397701</v>
      </c>
      <c r="D69">
        <v>0.59862280640740195</v>
      </c>
      <c r="E69">
        <v>0.40093364280470001</v>
      </c>
    </row>
    <row r="70" spans="1:5" x14ac:dyDescent="0.4">
      <c r="A70" s="1">
        <v>41152</v>
      </c>
      <c r="B70">
        <v>0.62195413027222002</v>
      </c>
      <c r="C70">
        <v>0.30380318100141102</v>
      </c>
      <c r="D70">
        <v>0.34181715299085302</v>
      </c>
      <c r="E70">
        <v>0.43773802229054698</v>
      </c>
    </row>
    <row r="71" spans="1:5" x14ac:dyDescent="0.4">
      <c r="A71" s="1">
        <v>41182</v>
      </c>
      <c r="B71">
        <v>0.58542109140431897</v>
      </c>
      <c r="C71">
        <v>0.24759281254648199</v>
      </c>
      <c r="D71">
        <v>0.36337138325506402</v>
      </c>
      <c r="E71">
        <v>0.33855109635823399</v>
      </c>
    </row>
    <row r="72" spans="1:5" x14ac:dyDescent="0.4">
      <c r="A72" s="1">
        <v>41213</v>
      </c>
      <c r="B72">
        <v>0.442829966533688</v>
      </c>
      <c r="C72">
        <v>0.13945418349164901</v>
      </c>
      <c r="D72">
        <v>0.40063086649954399</v>
      </c>
      <c r="E72">
        <v>0.19880770684215399</v>
      </c>
    </row>
    <row r="73" spans="1:5" x14ac:dyDescent="0.4">
      <c r="A73" s="1">
        <v>41243</v>
      </c>
      <c r="B73">
        <v>0.45053093220584101</v>
      </c>
      <c r="C73">
        <v>0.19034904153000501</v>
      </c>
      <c r="D73">
        <v>0.358844306375945</v>
      </c>
      <c r="E73">
        <v>0.27849181055572703</v>
      </c>
    </row>
    <row r="74" spans="1:5" x14ac:dyDescent="0.4">
      <c r="A74" s="1">
        <v>41274</v>
      </c>
      <c r="B74">
        <v>0.45384152102282699</v>
      </c>
      <c r="C74">
        <v>0.208737585508636</v>
      </c>
      <c r="D74">
        <v>0.34144900665661199</v>
      </c>
      <c r="E74">
        <v>0.248981443396534</v>
      </c>
    </row>
    <row r="75" spans="1:5" x14ac:dyDescent="0.4">
      <c r="A75" s="1">
        <v>41305</v>
      </c>
      <c r="B75">
        <v>0.43984468943377703</v>
      </c>
      <c r="C75">
        <v>0.24213609160807201</v>
      </c>
      <c r="D75">
        <v>0.26372237994161002</v>
      </c>
      <c r="E75">
        <v>0.189544776873773</v>
      </c>
    </row>
    <row r="76" spans="1:5" x14ac:dyDescent="0.4">
      <c r="A76" s="1">
        <v>41333</v>
      </c>
      <c r="B76">
        <v>0.44940114995987701</v>
      </c>
      <c r="C76">
        <v>0.29753721971139702</v>
      </c>
      <c r="D76">
        <v>0.210254615098424</v>
      </c>
      <c r="E76">
        <v>0.18296680329763901</v>
      </c>
    </row>
    <row r="77" spans="1:5" x14ac:dyDescent="0.4">
      <c r="A77" s="1">
        <v>41364</v>
      </c>
      <c r="B77">
        <v>0.54859962732779699</v>
      </c>
      <c r="C77">
        <v>0.36920865049318802</v>
      </c>
      <c r="D77">
        <v>0.24897345653820399</v>
      </c>
      <c r="E77">
        <v>0.25612161633356001</v>
      </c>
    </row>
    <row r="78" spans="1:5" x14ac:dyDescent="0.4">
      <c r="A78" s="1">
        <v>41394</v>
      </c>
      <c r="B78">
        <v>0.56273991861135697</v>
      </c>
      <c r="C78">
        <v>0.48275832039626398</v>
      </c>
      <c r="D78">
        <v>0.19371472630088099</v>
      </c>
      <c r="E78">
        <v>0.35945875097728203</v>
      </c>
    </row>
    <row r="79" spans="1:5" x14ac:dyDescent="0.4">
      <c r="A79" s="1">
        <v>41425</v>
      </c>
      <c r="B79">
        <v>0.62973525502372896</v>
      </c>
      <c r="C79">
        <v>0.53800732296815701</v>
      </c>
      <c r="D79">
        <v>4.52181827002767E-2</v>
      </c>
      <c r="E79">
        <v>0.41246382127368503</v>
      </c>
    </row>
    <row r="80" spans="1:5" x14ac:dyDescent="0.4">
      <c r="A80" s="1">
        <v>41455</v>
      </c>
      <c r="B80">
        <v>0.68212755865272801</v>
      </c>
      <c r="C80">
        <v>0.50163445970281095</v>
      </c>
      <c r="D80">
        <v>6.1317566337609902E-2</v>
      </c>
      <c r="E80">
        <v>0.33157440545176298</v>
      </c>
    </row>
    <row r="81" spans="1:5" x14ac:dyDescent="0.4">
      <c r="A81" s="1">
        <v>41486</v>
      </c>
      <c r="B81">
        <v>0.63552120897037701</v>
      </c>
      <c r="C81">
        <v>0.42895798127798002</v>
      </c>
      <c r="D81">
        <v>0.13238470525335599</v>
      </c>
      <c r="E81">
        <v>0.34128701609298601</v>
      </c>
    </row>
    <row r="82" spans="1:5" x14ac:dyDescent="0.4">
      <c r="A82" s="1">
        <v>41517</v>
      </c>
      <c r="B82">
        <v>0.61119418408400705</v>
      </c>
      <c r="C82">
        <v>0.37546026750537198</v>
      </c>
      <c r="D82">
        <v>6.60125339449191E-2</v>
      </c>
      <c r="E82">
        <v>0.35884775345148701</v>
      </c>
    </row>
    <row r="83" spans="1:5" x14ac:dyDescent="0.4">
      <c r="A83" s="1">
        <v>41547</v>
      </c>
      <c r="B83">
        <v>0.516688644201446</v>
      </c>
      <c r="C83">
        <v>0.33591250554389901</v>
      </c>
      <c r="D83">
        <v>-5.04038433595594E-2</v>
      </c>
      <c r="E83">
        <v>0.32204562577782098</v>
      </c>
    </row>
    <row r="84" spans="1:5" x14ac:dyDescent="0.4">
      <c r="A84" s="1">
        <v>41578</v>
      </c>
      <c r="B84">
        <v>0.47210526165102601</v>
      </c>
      <c r="C84">
        <v>0.26418624400609703</v>
      </c>
      <c r="D84">
        <v>9.0085657639957101E-2</v>
      </c>
      <c r="E84">
        <v>0.43041044907158499</v>
      </c>
    </row>
    <row r="85" spans="1:5" x14ac:dyDescent="0.4">
      <c r="A85" s="1">
        <v>41608</v>
      </c>
      <c r="B85">
        <v>0.432945412462302</v>
      </c>
      <c r="C85">
        <v>0.14790623256711799</v>
      </c>
      <c r="D85">
        <v>7.5596218593335193E-2</v>
      </c>
      <c r="E85">
        <v>0.364332765043416</v>
      </c>
    </row>
    <row r="86" spans="1:5" x14ac:dyDescent="0.4">
      <c r="A86" s="1">
        <v>41639</v>
      </c>
      <c r="B86">
        <v>0.43747447415817298</v>
      </c>
      <c r="C86">
        <v>0.13773040165848399</v>
      </c>
      <c r="D86">
        <v>4.41075320333639E-2</v>
      </c>
      <c r="E86">
        <v>0.36061221299599</v>
      </c>
    </row>
    <row r="87" spans="1:5" x14ac:dyDescent="0.4">
      <c r="A87" s="1">
        <v>41670</v>
      </c>
      <c r="B87">
        <v>0.46556439647737002</v>
      </c>
      <c r="C87">
        <v>0.10634163757942899</v>
      </c>
      <c r="D87">
        <v>0.108094708058923</v>
      </c>
      <c r="E87">
        <v>0.35348431236490202</v>
      </c>
    </row>
    <row r="88" spans="1:5" x14ac:dyDescent="0.4">
      <c r="A88" s="1">
        <v>41698</v>
      </c>
      <c r="B88">
        <v>0.53341832721871096</v>
      </c>
      <c r="C88">
        <v>0.19518275338555399</v>
      </c>
      <c r="D88">
        <v>0.24034993371218799</v>
      </c>
      <c r="E88">
        <v>0.36544281629925401</v>
      </c>
    </row>
    <row r="89" spans="1:5" x14ac:dyDescent="0.4">
      <c r="A89" s="1">
        <v>41729</v>
      </c>
      <c r="B89">
        <v>0.55776866757398402</v>
      </c>
      <c r="C89">
        <v>0.188354356314171</v>
      </c>
      <c r="D89">
        <v>0.12984796089540401</v>
      </c>
      <c r="E89">
        <v>0.43232618412981599</v>
      </c>
    </row>
    <row r="90" spans="1:5" x14ac:dyDescent="0.4">
      <c r="A90" s="1">
        <v>41759</v>
      </c>
      <c r="B90">
        <v>0.520533880618815</v>
      </c>
      <c r="C90">
        <v>0.13353388873022701</v>
      </c>
      <c r="D90">
        <v>0.146713790202113</v>
      </c>
      <c r="E90">
        <v>0.292045046152349</v>
      </c>
    </row>
    <row r="91" spans="1:5" x14ac:dyDescent="0.4">
      <c r="A91" s="1">
        <v>41790</v>
      </c>
      <c r="B91">
        <v>0.49325673701756301</v>
      </c>
      <c r="C91">
        <v>0.15599063330827101</v>
      </c>
      <c r="D91">
        <v>0.13019963115352701</v>
      </c>
      <c r="E91">
        <v>0.28880622795767102</v>
      </c>
    </row>
    <row r="92" spans="1:5" x14ac:dyDescent="0.4">
      <c r="A92" s="1">
        <v>41820</v>
      </c>
      <c r="B92">
        <v>0.51291375661824501</v>
      </c>
      <c r="C92">
        <v>0.20982173341823199</v>
      </c>
      <c r="D92">
        <v>9.6109097120557901E-2</v>
      </c>
      <c r="E92">
        <v>0.33005515820908699</v>
      </c>
    </row>
    <row r="93" spans="1:5" x14ac:dyDescent="0.4">
      <c r="A93" s="1">
        <v>41851</v>
      </c>
      <c r="B93">
        <v>0.53847098767889801</v>
      </c>
      <c r="C93">
        <v>0.26660485907909798</v>
      </c>
      <c r="D93">
        <v>8.4011865209987199E-2</v>
      </c>
      <c r="E93">
        <v>0.33497060924712002</v>
      </c>
    </row>
    <row r="94" spans="1:5" x14ac:dyDescent="0.4">
      <c r="A94" s="1">
        <v>41882</v>
      </c>
      <c r="B94">
        <v>0.38076704979534998</v>
      </c>
      <c r="C94">
        <v>0.17021064085052601</v>
      </c>
      <c r="D94">
        <v>-1.89767190358093E-2</v>
      </c>
      <c r="E94">
        <v>0.28677997417205697</v>
      </c>
    </row>
    <row r="95" spans="1:5" x14ac:dyDescent="0.4">
      <c r="A95" s="1">
        <v>41912</v>
      </c>
      <c r="B95">
        <v>0.28639807411252599</v>
      </c>
      <c r="C95">
        <v>0.12899927502637201</v>
      </c>
      <c r="D95">
        <v>-4.4385964512735E-2</v>
      </c>
      <c r="E95">
        <v>0.244428845444323</v>
      </c>
    </row>
    <row r="96" spans="1:5" x14ac:dyDescent="0.4">
      <c r="A96" s="1">
        <v>41943</v>
      </c>
      <c r="B96">
        <v>0.27818894565555602</v>
      </c>
      <c r="C96">
        <v>0.110454299375095</v>
      </c>
      <c r="D96">
        <v>-1.32320300169875E-2</v>
      </c>
      <c r="E96">
        <v>0.21882005985779601</v>
      </c>
    </row>
    <row r="97" spans="1:5" x14ac:dyDescent="0.4">
      <c r="A97" s="1">
        <v>41973</v>
      </c>
      <c r="B97">
        <v>0.304629908107384</v>
      </c>
      <c r="C97">
        <v>1.6389836554681798E-2</v>
      </c>
      <c r="D97">
        <v>-7.4124842840424005E-2</v>
      </c>
      <c r="E97">
        <v>0.22911028102536399</v>
      </c>
    </row>
    <row r="98" spans="1:5" x14ac:dyDescent="0.4">
      <c r="A98" s="1">
        <v>42004</v>
      </c>
      <c r="B98">
        <v>0.36838086030922801</v>
      </c>
      <c r="C98">
        <v>-0.17819793511502</v>
      </c>
      <c r="D98">
        <v>-0.53457829845930205</v>
      </c>
      <c r="E98">
        <v>0.249452428414702</v>
      </c>
    </row>
    <row r="99" spans="1:5" x14ac:dyDescent="0.4">
      <c r="A99" s="1">
        <v>42035</v>
      </c>
      <c r="B99">
        <v>0.42023569566548002</v>
      </c>
      <c r="C99">
        <v>-0.241991957107801</v>
      </c>
      <c r="D99">
        <v>-0.57097259422075697</v>
      </c>
      <c r="E99">
        <v>0.241084457381981</v>
      </c>
    </row>
    <row r="100" spans="1:5" x14ac:dyDescent="0.4">
      <c r="A100" s="1">
        <v>42063</v>
      </c>
      <c r="B100">
        <v>0.39414645050014302</v>
      </c>
      <c r="C100">
        <v>-0.173534231788044</v>
      </c>
      <c r="D100">
        <v>-0.52560619202624204</v>
      </c>
      <c r="E100">
        <v>0.23827434080658</v>
      </c>
    </row>
    <row r="101" spans="1:5" x14ac:dyDescent="0.4">
      <c r="A101" s="1">
        <v>42094</v>
      </c>
      <c r="B101">
        <v>0.37164427076115703</v>
      </c>
      <c r="C101">
        <v>-6.0691433297186299E-2</v>
      </c>
      <c r="D101">
        <v>-0.48842635080449098</v>
      </c>
      <c r="E101">
        <v>0.205295878250076</v>
      </c>
    </row>
    <row r="102" spans="1:5" x14ac:dyDescent="0.4">
      <c r="A102" s="1">
        <v>42124</v>
      </c>
      <c r="B102">
        <v>0.21399620681881201</v>
      </c>
      <c r="C102">
        <v>-3.1135279772116699E-2</v>
      </c>
      <c r="D102">
        <v>-0.366459400137228</v>
      </c>
      <c r="E102">
        <v>2.9678654371965402E-2</v>
      </c>
    </row>
    <row r="103" spans="1:5" x14ac:dyDescent="0.4">
      <c r="A103" s="1">
        <v>42155</v>
      </c>
      <c r="B103">
        <v>0.22004529225353101</v>
      </c>
      <c r="C103">
        <v>-7.9851459680715994E-3</v>
      </c>
      <c r="D103">
        <v>-0.32330391251575602</v>
      </c>
      <c r="E103">
        <v>4.4629800071592597E-2</v>
      </c>
    </row>
    <row r="104" spans="1:5" x14ac:dyDescent="0.4">
      <c r="A104" s="1">
        <v>42185</v>
      </c>
      <c r="B104">
        <v>0.248005634189498</v>
      </c>
      <c r="C104">
        <v>-1.4018581907223901E-2</v>
      </c>
      <c r="D104">
        <v>-0.167688625243096</v>
      </c>
      <c r="E104">
        <v>4.0771905686121497E-2</v>
      </c>
    </row>
    <row r="105" spans="1:5" x14ac:dyDescent="0.4">
      <c r="A105" s="1">
        <v>42216</v>
      </c>
      <c r="B105">
        <v>0.32359207527606798</v>
      </c>
      <c r="C105">
        <v>2.78083996259136E-2</v>
      </c>
      <c r="D105">
        <v>-9.9257266398152192E-3</v>
      </c>
      <c r="E105">
        <v>3.4433514565314197E-2</v>
      </c>
    </row>
    <row r="106" spans="1:5" x14ac:dyDescent="0.4">
      <c r="A106" s="1">
        <v>42247</v>
      </c>
      <c r="B106">
        <v>0.36925361915446803</v>
      </c>
      <c r="C106">
        <v>7.8943064460561901E-2</v>
      </c>
      <c r="D106">
        <v>6.5824283331333194E-2</v>
      </c>
      <c r="E106">
        <v>8.8611044353626406E-2</v>
      </c>
    </row>
    <row r="107" spans="1:5" x14ac:dyDescent="0.4">
      <c r="A107" s="1">
        <v>42277</v>
      </c>
      <c r="B107">
        <v>0.38830461324475402</v>
      </c>
      <c r="C107">
        <v>-7.8489822526765004E-3</v>
      </c>
      <c r="D107">
        <v>-1.62586825286757E-2</v>
      </c>
      <c r="E107">
        <v>0.14376068183301799</v>
      </c>
    </row>
    <row r="108" spans="1:5" x14ac:dyDescent="0.4">
      <c r="A108" s="1">
        <v>42308</v>
      </c>
      <c r="B108">
        <v>0.25001697711018001</v>
      </c>
      <c r="C108">
        <v>-3.8283624434656202E-2</v>
      </c>
      <c r="D108">
        <v>-8.7950151268587295E-2</v>
      </c>
      <c r="E108">
        <v>-1.54517862933199E-2</v>
      </c>
    </row>
    <row r="109" spans="1:5" x14ac:dyDescent="0.4">
      <c r="A109" s="1">
        <v>42338</v>
      </c>
      <c r="B109">
        <v>0.21074862981640899</v>
      </c>
      <c r="C109">
        <v>-4.9552398618075803E-2</v>
      </c>
      <c r="D109">
        <v>-0.150493247948746</v>
      </c>
      <c r="E109">
        <v>-2.5943253792308298E-2</v>
      </c>
    </row>
    <row r="110" spans="1:5" x14ac:dyDescent="0.4">
      <c r="A110" s="1">
        <v>42369</v>
      </c>
      <c r="B110">
        <v>0.14097846699243499</v>
      </c>
      <c r="C110">
        <v>-3.98323160409517E-2</v>
      </c>
      <c r="D110">
        <v>-0.20855064476298499</v>
      </c>
      <c r="E110">
        <v>-8.11031922738778E-2</v>
      </c>
    </row>
    <row r="111" spans="1:5" x14ac:dyDescent="0.4">
      <c r="A111" s="1">
        <v>42400</v>
      </c>
      <c r="B111">
        <v>0.18107290033915399</v>
      </c>
      <c r="C111">
        <v>-5.6322961877986301E-3</v>
      </c>
      <c r="D111">
        <v>-0.14984697214595799</v>
      </c>
      <c r="E111">
        <v>-3.4524019771962303E-2</v>
      </c>
    </row>
    <row r="112" spans="1:5" x14ac:dyDescent="0.4">
      <c r="A112" s="1">
        <v>42429</v>
      </c>
      <c r="B112">
        <v>0.18957004012763601</v>
      </c>
      <c r="C112">
        <v>-2.3718209814346101E-2</v>
      </c>
      <c r="D112">
        <v>-5.3523642259343002E-2</v>
      </c>
      <c r="E112">
        <v>-2.7453867353815501E-2</v>
      </c>
    </row>
    <row r="113" spans="1:5" x14ac:dyDescent="0.4">
      <c r="A113" s="1">
        <v>42460</v>
      </c>
      <c r="B113">
        <v>0.242898196951814</v>
      </c>
      <c r="C113">
        <v>-4.0017271705515799E-2</v>
      </c>
      <c r="D113">
        <v>-4.3498309711500302E-2</v>
      </c>
      <c r="E113">
        <v>3.1434308451737898E-2</v>
      </c>
    </row>
    <row r="114" spans="1:5" x14ac:dyDescent="0.4">
      <c r="A114" s="1">
        <v>42490</v>
      </c>
      <c r="B114">
        <v>0.17957710233678301</v>
      </c>
      <c r="C114">
        <v>-5.5895794991382197E-2</v>
      </c>
      <c r="D114">
        <v>-0.11210737817578</v>
      </c>
      <c r="E114">
        <v>5.37018507052495E-2</v>
      </c>
    </row>
    <row r="115" spans="1:5" x14ac:dyDescent="0.4">
      <c r="A115" s="1">
        <v>42521</v>
      </c>
      <c r="B115">
        <v>0.227486945810526</v>
      </c>
      <c r="C115">
        <v>-3.49413905211663E-2</v>
      </c>
      <c r="D115">
        <v>-9.9235813269697395E-2</v>
      </c>
      <c r="E115">
        <v>1.2548353120813101E-2</v>
      </c>
    </row>
    <row r="116" spans="1:5" x14ac:dyDescent="0.4">
      <c r="A116" s="1">
        <v>42551</v>
      </c>
      <c r="B116">
        <v>0.18882982893084899</v>
      </c>
      <c r="C116">
        <v>-1.6947498054275801E-2</v>
      </c>
      <c r="D116">
        <v>-0.100667832410905</v>
      </c>
      <c r="E116">
        <v>1.21122435758345E-2</v>
      </c>
    </row>
    <row r="117" spans="1:5" x14ac:dyDescent="0.4">
      <c r="A117" s="1">
        <v>42582</v>
      </c>
      <c r="B117">
        <v>0.221934633880365</v>
      </c>
      <c r="C117">
        <v>2.53278375880624E-2</v>
      </c>
      <c r="D117">
        <v>7.8112128087513798E-3</v>
      </c>
      <c r="E117">
        <v>3.5657098351433797E-2</v>
      </c>
    </row>
    <row r="118" spans="1:5" x14ac:dyDescent="0.4">
      <c r="A118" s="1">
        <v>42613</v>
      </c>
      <c r="B118">
        <v>0.24145540713049199</v>
      </c>
      <c r="C118">
        <v>0.10201147255896199</v>
      </c>
      <c r="D118">
        <v>-3.2468699131667E-2</v>
      </c>
      <c r="E118">
        <v>8.7818360888055294E-2</v>
      </c>
    </row>
    <row r="119" spans="1:5" x14ac:dyDescent="0.4">
      <c r="A119" s="1">
        <v>42643</v>
      </c>
      <c r="B119">
        <v>0.24230823634464199</v>
      </c>
      <c r="C119">
        <v>8.4142025034144904E-2</v>
      </c>
      <c r="D119">
        <v>2.9987526211315799E-2</v>
      </c>
      <c r="E119">
        <v>6.0047190389121499E-2</v>
      </c>
    </row>
    <row r="120" spans="1:5" x14ac:dyDescent="0.4">
      <c r="A120" s="1">
        <v>42674</v>
      </c>
      <c r="B120">
        <v>0.24956958673901899</v>
      </c>
      <c r="C120">
        <v>4.6305580594005497E-2</v>
      </c>
      <c r="D120">
        <v>2.2820298186917502E-2</v>
      </c>
      <c r="E120">
        <v>4.5812111599619898E-2</v>
      </c>
    </row>
    <row r="121" spans="1:5" x14ac:dyDescent="0.4">
      <c r="A121" s="1">
        <v>42704</v>
      </c>
      <c r="B121">
        <v>0.22618384991173199</v>
      </c>
      <c r="C121">
        <v>-5.74017980267977E-2</v>
      </c>
      <c r="D121">
        <v>-3.1904729148323797E-2</v>
      </c>
      <c r="E121">
        <v>2.9104679057792401E-2</v>
      </c>
    </row>
    <row r="122" spans="1:5" x14ac:dyDescent="0.4">
      <c r="A122" s="1">
        <v>42735</v>
      </c>
      <c r="B122">
        <v>0.24508228635363899</v>
      </c>
      <c r="C122">
        <v>-6.2727322963271603E-2</v>
      </c>
      <c r="D122">
        <v>1.35371524008397E-2</v>
      </c>
      <c r="E122">
        <v>2.30160288017584E-2</v>
      </c>
    </row>
    <row r="123" spans="1:5" x14ac:dyDescent="0.4">
      <c r="A123" s="1">
        <v>42766</v>
      </c>
      <c r="B123">
        <v>0.28135841103092302</v>
      </c>
      <c r="C123">
        <v>-5.7730139290264999E-2</v>
      </c>
      <c r="D123">
        <v>-2.5185799138722001E-3</v>
      </c>
      <c r="E123">
        <v>5.1895512600115103E-3</v>
      </c>
    </row>
    <row r="124" spans="1:5" x14ac:dyDescent="0.4">
      <c r="A124" s="1">
        <v>42794</v>
      </c>
      <c r="B124">
        <v>0.32117632266410601</v>
      </c>
      <c r="C124">
        <v>1.2378133703206E-2</v>
      </c>
      <c r="D124">
        <v>2.6437276532924499E-2</v>
      </c>
      <c r="E124">
        <v>1.53554333268565E-3</v>
      </c>
    </row>
    <row r="125" spans="1:5" x14ac:dyDescent="0.4">
      <c r="A125" s="1">
        <v>42825</v>
      </c>
      <c r="B125">
        <v>0.249357595849824</v>
      </c>
      <c r="C125">
        <v>-6.1154966147639399E-2</v>
      </c>
      <c r="D125">
        <v>0.10203720476773601</v>
      </c>
      <c r="E125">
        <v>7.8283052867568301E-2</v>
      </c>
    </row>
    <row r="126" spans="1:5" x14ac:dyDescent="0.4">
      <c r="A126" s="1">
        <v>42855</v>
      </c>
      <c r="B126">
        <v>0.28404032140306001</v>
      </c>
      <c r="C126">
        <v>-1.1400093787190401E-3</v>
      </c>
      <c r="D126">
        <v>0.18365208170963199</v>
      </c>
      <c r="E126">
        <v>0.14352066517992601</v>
      </c>
    </row>
    <row r="127" spans="1:5" x14ac:dyDescent="0.4">
      <c r="A127" s="1">
        <v>42886</v>
      </c>
      <c r="B127">
        <v>0.26308655498903999</v>
      </c>
      <c r="C127">
        <v>1.31575298128505E-2</v>
      </c>
      <c r="D127">
        <v>3.3430888801848302E-2</v>
      </c>
      <c r="E127">
        <v>0.164867866743374</v>
      </c>
    </row>
    <row r="128" spans="1:5" x14ac:dyDescent="0.4">
      <c r="A128" s="1">
        <v>42916</v>
      </c>
      <c r="B128">
        <v>0.296201204568938</v>
      </c>
      <c r="C128">
        <v>1.6224756146277702E-2</v>
      </c>
      <c r="D128">
        <v>9.0583696400718602E-2</v>
      </c>
      <c r="E128">
        <v>0.12873755246340199</v>
      </c>
    </row>
    <row r="129" spans="1:5" x14ac:dyDescent="0.4">
      <c r="A129" s="1">
        <v>42947</v>
      </c>
      <c r="B129">
        <v>0.323909416740773</v>
      </c>
      <c r="C129">
        <v>3.8111084061175901E-2</v>
      </c>
      <c r="D129">
        <v>0.11992098761523</v>
      </c>
      <c r="E129">
        <v>0.13764448914156299</v>
      </c>
    </row>
    <row r="130" spans="1:5" x14ac:dyDescent="0.4">
      <c r="A130" s="1">
        <v>42978</v>
      </c>
      <c r="B130">
        <v>0.39450591216556802</v>
      </c>
      <c r="C130">
        <v>9.5455760572563803E-2</v>
      </c>
      <c r="D130">
        <v>0.111418880899079</v>
      </c>
      <c r="E130">
        <v>0.249584629511511</v>
      </c>
    </row>
    <row r="131" spans="1:5" x14ac:dyDescent="0.4">
      <c r="A131" s="1">
        <v>43008</v>
      </c>
      <c r="B131">
        <v>0.43644552735720898</v>
      </c>
      <c r="C131">
        <v>0.119792266488323</v>
      </c>
      <c r="D131">
        <v>8.6376142476492695E-2</v>
      </c>
      <c r="E131">
        <v>0.16712594334727801</v>
      </c>
    </row>
    <row r="132" spans="1:5" x14ac:dyDescent="0.4">
      <c r="A132" s="1">
        <v>43039</v>
      </c>
      <c r="B132">
        <v>0.47908407637891698</v>
      </c>
      <c r="C132">
        <v>0.17651514013389899</v>
      </c>
      <c r="D132">
        <v>0.34003802904742497</v>
      </c>
      <c r="E132">
        <v>0.13936825467649899</v>
      </c>
    </row>
    <row r="133" spans="1:5" x14ac:dyDescent="0.4">
      <c r="A133" s="1">
        <v>43069</v>
      </c>
      <c r="B133">
        <v>0.55221810345038003</v>
      </c>
      <c r="C133">
        <v>0.252505987599554</v>
      </c>
      <c r="D133">
        <v>0.50612025140202099</v>
      </c>
      <c r="E133">
        <v>0.13367451257253801</v>
      </c>
    </row>
    <row r="134" spans="1:5" x14ac:dyDescent="0.4">
      <c r="A134" s="1">
        <v>43100</v>
      </c>
      <c r="B134">
        <v>0.51849792259072303</v>
      </c>
      <c r="C134">
        <v>0.23927670785541699</v>
      </c>
      <c r="D134">
        <v>0.46390063971735701</v>
      </c>
      <c r="E134">
        <v>0.15381237470311901</v>
      </c>
    </row>
    <row r="135" spans="1:5" x14ac:dyDescent="0.4">
      <c r="A135" s="1">
        <v>43131</v>
      </c>
      <c r="B135">
        <v>0.52258104811569095</v>
      </c>
      <c r="C135">
        <v>0.19711685429427001</v>
      </c>
      <c r="D135">
        <v>0.45261626967740098</v>
      </c>
      <c r="E135">
        <v>0.104042612624158</v>
      </c>
    </row>
    <row r="136" spans="1:5" x14ac:dyDescent="0.4">
      <c r="A136" s="1">
        <v>43159</v>
      </c>
      <c r="B136">
        <v>0.46387386688156501</v>
      </c>
      <c r="C136">
        <v>8.4508576761425203E-2</v>
      </c>
      <c r="D136">
        <v>0.243111218920528</v>
      </c>
      <c r="E136">
        <v>9.6581484812747601E-2</v>
      </c>
    </row>
    <row r="137" spans="1:5" x14ac:dyDescent="0.4">
      <c r="A137" s="1">
        <v>43190</v>
      </c>
      <c r="B137">
        <v>0.41287757923979701</v>
      </c>
      <c r="C137">
        <v>5.0263747444019499E-2</v>
      </c>
      <c r="D137">
        <v>0.37139549344356998</v>
      </c>
      <c r="E137">
        <v>0.146653325172695</v>
      </c>
    </row>
    <row r="138" spans="1:5" x14ac:dyDescent="0.4">
      <c r="A138" s="1">
        <v>43220</v>
      </c>
      <c r="B138">
        <v>0.32810081348520298</v>
      </c>
      <c r="C138">
        <v>4.6773409292669703E-2</v>
      </c>
      <c r="D138">
        <v>0.256823214940261</v>
      </c>
      <c r="E138">
        <v>3.7015252883618399E-2</v>
      </c>
    </row>
    <row r="139" spans="1:5" x14ac:dyDescent="0.4">
      <c r="A139" s="1">
        <v>43251</v>
      </c>
      <c r="B139">
        <v>0.43350689253271402</v>
      </c>
      <c r="C139">
        <v>0.124879830336982</v>
      </c>
      <c r="D139">
        <v>0.30965796954681102</v>
      </c>
      <c r="E139">
        <v>5.5736896137950798E-2</v>
      </c>
    </row>
    <row r="140" spans="1:5" x14ac:dyDescent="0.4">
      <c r="A140" s="1">
        <v>43281</v>
      </c>
      <c r="B140">
        <v>0.52546415783513201</v>
      </c>
      <c r="C140">
        <v>0.141782355093407</v>
      </c>
      <c r="D140">
        <v>0.51939570164412496</v>
      </c>
      <c r="E140">
        <v>6.7596281298954702E-2</v>
      </c>
    </row>
    <row r="141" spans="1:5" x14ac:dyDescent="0.4">
      <c r="A141" s="1">
        <v>43312</v>
      </c>
      <c r="B141">
        <v>0.47016439708589802</v>
      </c>
      <c r="C141">
        <v>9.2384394553274907E-2</v>
      </c>
      <c r="D141">
        <v>0.42709615888897301</v>
      </c>
      <c r="E141">
        <v>8.3174444644254594E-2</v>
      </c>
    </row>
    <row r="142" spans="1:5" x14ac:dyDescent="0.4">
      <c r="A142" s="1">
        <v>43343</v>
      </c>
      <c r="B142">
        <v>0.55789074552241402</v>
      </c>
      <c r="C142">
        <v>0.24455217761557499</v>
      </c>
      <c r="D142">
        <v>0.48313644261861199</v>
      </c>
      <c r="E142">
        <v>7.9223266250217306E-2</v>
      </c>
    </row>
    <row r="143" spans="1:5" x14ac:dyDescent="0.4">
      <c r="A143" s="1">
        <v>43373</v>
      </c>
      <c r="B143">
        <v>0.60129084817859602</v>
      </c>
      <c r="C143">
        <v>0.23634308594793199</v>
      </c>
      <c r="D143">
        <v>0.52669493856296801</v>
      </c>
      <c r="E143">
        <v>2.1734369790187599E-2</v>
      </c>
    </row>
    <row r="144" spans="1:5" x14ac:dyDescent="0.4">
      <c r="A144" s="1">
        <v>43404</v>
      </c>
      <c r="B144">
        <v>0.60973977487057696</v>
      </c>
      <c r="C144">
        <v>0.35082756221283301</v>
      </c>
      <c r="D144">
        <v>0.43359667341799701</v>
      </c>
      <c r="E144">
        <v>-2.8186938523754201E-2</v>
      </c>
    </row>
    <row r="145" spans="1:5" x14ac:dyDescent="0.4">
      <c r="A145" s="1">
        <v>43434</v>
      </c>
      <c r="B145">
        <v>0.60771492158681595</v>
      </c>
      <c r="C145">
        <v>0.35542799079360998</v>
      </c>
      <c r="D145">
        <v>0.42784927625762098</v>
      </c>
      <c r="E145">
        <v>2.3901709488661899E-2</v>
      </c>
    </row>
    <row r="146" spans="1:5" x14ac:dyDescent="0.4">
      <c r="A146" s="1">
        <v>43465</v>
      </c>
      <c r="B146">
        <v>0.655634629403267</v>
      </c>
      <c r="C146">
        <v>0.35168009557670699</v>
      </c>
      <c r="D146">
        <v>0.41493202529948398</v>
      </c>
      <c r="E146">
        <v>5.9780187305428799E-2</v>
      </c>
    </row>
    <row r="147" spans="1:5" x14ac:dyDescent="0.4">
      <c r="A147" s="1">
        <v>43496</v>
      </c>
      <c r="B147">
        <v>0.64854998113756701</v>
      </c>
      <c r="C147">
        <v>0.29837070000744798</v>
      </c>
      <c r="D147">
        <v>0.41866537771400902</v>
      </c>
      <c r="E147">
        <v>2.94809721664872E-2</v>
      </c>
    </row>
    <row r="148" spans="1:5" x14ac:dyDescent="0.4">
      <c r="A148" s="1">
        <v>43524</v>
      </c>
      <c r="B148">
        <v>0.61464409231355999</v>
      </c>
      <c r="C148">
        <v>0.22606134883902601</v>
      </c>
      <c r="D148">
        <v>0.15069915031640899</v>
      </c>
      <c r="E148">
        <v>-2.4547977752441101E-2</v>
      </c>
    </row>
    <row r="149" spans="1:5" x14ac:dyDescent="0.4">
      <c r="A149" s="1">
        <v>43555</v>
      </c>
      <c r="B149">
        <v>0.56799630590206795</v>
      </c>
      <c r="C149">
        <v>0.17805781618441299</v>
      </c>
      <c r="D149">
        <v>7.7050417397423202E-2</v>
      </c>
      <c r="E149">
        <v>-4.6487199877728001E-2</v>
      </c>
    </row>
    <row r="150" spans="1:5" x14ac:dyDescent="0.4">
      <c r="A150" s="1">
        <v>43585</v>
      </c>
      <c r="B150">
        <v>0.641249612458758</v>
      </c>
      <c r="C150">
        <v>0.28696011593749998</v>
      </c>
      <c r="D150">
        <v>0.155118177126534</v>
      </c>
      <c r="E150">
        <v>4.72113817273258E-2</v>
      </c>
    </row>
    <row r="151" spans="1:5" x14ac:dyDescent="0.4">
      <c r="A151" s="1">
        <v>43616</v>
      </c>
      <c r="B151">
        <v>0.65173378922231995</v>
      </c>
      <c r="C151">
        <v>0.29725754704457102</v>
      </c>
      <c r="D151">
        <v>0.26001119718905302</v>
      </c>
      <c r="E151">
        <v>8.3358039046109E-2</v>
      </c>
    </row>
    <row r="152" spans="1:5" x14ac:dyDescent="0.4">
      <c r="A152" s="1">
        <v>43646</v>
      </c>
      <c r="B152">
        <v>0.64454113352878295</v>
      </c>
      <c r="C152">
        <v>0.27489389506103101</v>
      </c>
      <c r="D152">
        <v>0.25923975973916102</v>
      </c>
      <c r="E152">
        <v>7.2806721756566398E-2</v>
      </c>
    </row>
    <row r="153" spans="1:5" x14ac:dyDescent="0.4">
      <c r="A153" s="1">
        <v>43677</v>
      </c>
      <c r="B153">
        <v>0.63814140796224805</v>
      </c>
      <c r="C153">
        <v>0.23289613674982801</v>
      </c>
      <c r="D153">
        <v>0.28711431968654699</v>
      </c>
      <c r="E153">
        <v>6.6690379874960695E-2</v>
      </c>
    </row>
    <row r="154" spans="1:5" x14ac:dyDescent="0.4">
      <c r="A154" s="1">
        <v>43708</v>
      </c>
      <c r="B154">
        <v>0.53377433318425405</v>
      </c>
      <c r="C154">
        <v>0.17813172548966</v>
      </c>
      <c r="D154">
        <v>0.237521287110527</v>
      </c>
      <c r="E154">
        <v>2.5271575387371799E-2</v>
      </c>
    </row>
    <row r="155" spans="1:5" x14ac:dyDescent="0.4">
      <c r="A155" s="1">
        <v>43738</v>
      </c>
      <c r="B155">
        <v>0.56272110038824197</v>
      </c>
      <c r="C155">
        <v>0.14166398059053101</v>
      </c>
      <c r="D155">
        <v>0.190275694947526</v>
      </c>
      <c r="E155">
        <v>5.1600369956476197E-2</v>
      </c>
    </row>
    <row r="156" spans="1:5" x14ac:dyDescent="0.4">
      <c r="A156" s="1">
        <v>43769</v>
      </c>
      <c r="B156">
        <v>0.50968502915438596</v>
      </c>
      <c r="C156">
        <v>7.5513944717305395E-2</v>
      </c>
      <c r="D156">
        <v>0.100442148509094</v>
      </c>
      <c r="E156">
        <v>-7.16592665305789E-2</v>
      </c>
    </row>
    <row r="157" spans="1:5" x14ac:dyDescent="0.4">
      <c r="A157" s="1">
        <v>43799</v>
      </c>
      <c r="B157">
        <v>0.49069506254530598</v>
      </c>
      <c r="C157">
        <v>4.4498086643554598E-2</v>
      </c>
      <c r="D157">
        <v>0.164880774964761</v>
      </c>
      <c r="E157">
        <v>-6.6902736096684401E-2</v>
      </c>
    </row>
    <row r="158" spans="1:5" x14ac:dyDescent="0.4">
      <c r="A158" s="1">
        <v>43830</v>
      </c>
      <c r="B158">
        <v>0.60902316173495596</v>
      </c>
      <c r="C158">
        <v>0.197842638193239</v>
      </c>
      <c r="D158">
        <v>0.242813628850792</v>
      </c>
      <c r="E158">
        <v>9.1140348276260497E-2</v>
      </c>
    </row>
    <row r="159" spans="1:5" x14ac:dyDescent="0.4">
      <c r="A159" s="1">
        <v>43861</v>
      </c>
      <c r="B159">
        <v>0.60581519581591103</v>
      </c>
      <c r="C159">
        <v>0.191260183572593</v>
      </c>
      <c r="D159">
        <v>0.237551388157627</v>
      </c>
      <c r="E159">
        <v>8.4625467502218901E-2</v>
      </c>
    </row>
    <row r="160" spans="1:5" x14ac:dyDescent="0.4">
      <c r="A160" s="1">
        <v>43890</v>
      </c>
      <c r="B160">
        <v>0.56877520592004804</v>
      </c>
      <c r="C160">
        <v>0.179430525221074</v>
      </c>
      <c r="D160">
        <v>0.17513177205620301</v>
      </c>
      <c r="E160">
        <v>7.3296593222836395E-2</v>
      </c>
    </row>
    <row r="161" spans="1:5" x14ac:dyDescent="0.4">
      <c r="A161" s="1">
        <v>43921</v>
      </c>
      <c r="B161">
        <v>0.54875413355652103</v>
      </c>
      <c r="C161">
        <v>0.191933856859031</v>
      </c>
      <c r="D161">
        <v>0.15788443896523599</v>
      </c>
      <c r="E161">
        <v>6.0977824971470203E-2</v>
      </c>
    </row>
    <row r="162" spans="1:5" x14ac:dyDescent="0.4">
      <c r="A162" s="1">
        <v>43951</v>
      </c>
      <c r="B162">
        <v>0.46639128146255099</v>
      </c>
      <c r="C162">
        <v>0.108281678830845</v>
      </c>
      <c r="D162">
        <v>0.27323548334960301</v>
      </c>
      <c r="E162">
        <v>8.9946977745780102E-2</v>
      </c>
    </row>
    <row r="163" spans="1:5" x14ac:dyDescent="0.4">
      <c r="A163" s="1">
        <v>43982</v>
      </c>
      <c r="B163">
        <v>0.44045550023103103</v>
      </c>
      <c r="C163">
        <v>0.11546934777130299</v>
      </c>
      <c r="D163">
        <v>0.314857071070546</v>
      </c>
      <c r="E163">
        <v>7.4014415514034995E-2</v>
      </c>
    </row>
    <row r="164" spans="1:5" x14ac:dyDescent="0.4">
      <c r="A164" s="1">
        <v>44012</v>
      </c>
      <c r="B164">
        <v>0.40195110974174902</v>
      </c>
      <c r="C164">
        <v>6.0826862452408099E-2</v>
      </c>
      <c r="D164">
        <v>0.13403404836993801</v>
      </c>
      <c r="E164">
        <v>7.7029319984973393E-2</v>
      </c>
    </row>
    <row r="165" spans="1:5" x14ac:dyDescent="0.4">
      <c r="A165" s="1">
        <v>44043</v>
      </c>
      <c r="B165">
        <v>0.37190755736432402</v>
      </c>
      <c r="C165">
        <v>4.3034050841436203E-2</v>
      </c>
      <c r="D165">
        <v>8.6013383169107602E-2</v>
      </c>
      <c r="E165">
        <v>6.2226381364622198E-2</v>
      </c>
    </row>
    <row r="166" spans="1:5" x14ac:dyDescent="0.4">
      <c r="A166" s="1">
        <v>44074</v>
      </c>
      <c r="B166">
        <v>0.28908266470934102</v>
      </c>
      <c r="C166">
        <v>-3.7509615361886399E-2</v>
      </c>
      <c r="D166">
        <v>-9.5446221266378695E-2</v>
      </c>
      <c r="E166">
        <v>9.2954385802497E-2</v>
      </c>
    </row>
    <row r="167" spans="1:5" x14ac:dyDescent="0.4">
      <c r="A167" s="1">
        <v>44104</v>
      </c>
      <c r="B167">
        <v>0.291133144372413</v>
      </c>
      <c r="C167">
        <v>1.9846011819073101E-2</v>
      </c>
      <c r="D167">
        <v>1.31847069022933E-2</v>
      </c>
      <c r="E167">
        <v>6.1329095979104097E-2</v>
      </c>
    </row>
    <row r="168" spans="1:5" x14ac:dyDescent="0.4">
      <c r="A168" s="1">
        <v>44135</v>
      </c>
      <c r="B168">
        <v>0.274778383866155</v>
      </c>
      <c r="C168">
        <v>1.3456916298831599E-2</v>
      </c>
      <c r="D168">
        <v>0.15201599589166101</v>
      </c>
      <c r="E168">
        <v>3.9997054941058999E-2</v>
      </c>
    </row>
    <row r="169" spans="1:5" x14ac:dyDescent="0.4">
      <c r="A169" s="1">
        <v>44165</v>
      </c>
      <c r="B169">
        <v>0.34086377410993601</v>
      </c>
      <c r="C169">
        <v>4.4044575369208999E-2</v>
      </c>
      <c r="D169">
        <v>0.21257059071197701</v>
      </c>
      <c r="E169">
        <v>0.123371979286004</v>
      </c>
    </row>
    <row r="170" spans="1:5" x14ac:dyDescent="0.4">
      <c r="A170" s="1">
        <v>44196</v>
      </c>
      <c r="B170">
        <v>0.318550510380745</v>
      </c>
      <c r="C170">
        <v>7.1220499911270801E-2</v>
      </c>
      <c r="D170">
        <v>0.13795943523886101</v>
      </c>
      <c r="E170">
        <v>0.118629236694943</v>
      </c>
    </row>
    <row r="171" spans="1:5" x14ac:dyDescent="0.4">
      <c r="A171" s="1">
        <v>44227</v>
      </c>
      <c r="B171">
        <v>0.28374256851417201</v>
      </c>
      <c r="C171">
        <v>3.4043492995182302E-3</v>
      </c>
      <c r="D171">
        <v>0.172869890954364</v>
      </c>
      <c r="E171">
        <v>0.100176584934805</v>
      </c>
    </row>
    <row r="172" spans="1:5" x14ac:dyDescent="0.4">
      <c r="A172" s="1">
        <v>44255</v>
      </c>
      <c r="B172">
        <v>0.357556410412948</v>
      </c>
      <c r="C172">
        <v>4.2726910364572698E-2</v>
      </c>
      <c r="D172">
        <v>0.178633445728691</v>
      </c>
      <c r="E172">
        <v>0.110427645364388</v>
      </c>
    </row>
    <row r="173" spans="1:5" x14ac:dyDescent="0.4">
      <c r="A173" s="1">
        <v>44286</v>
      </c>
      <c r="B173">
        <v>0.338015513333147</v>
      </c>
      <c r="C173">
        <v>3.54401454400224E-4</v>
      </c>
      <c r="D173">
        <v>0.27414014463387598</v>
      </c>
      <c r="E173">
        <v>0.11475876710024201</v>
      </c>
    </row>
    <row r="174" spans="1:5" x14ac:dyDescent="0.4">
      <c r="A174" s="1">
        <v>44316</v>
      </c>
      <c r="B174">
        <v>0.366264359930491</v>
      </c>
      <c r="C174">
        <v>9.2894768232725897E-2</v>
      </c>
      <c r="D174">
        <v>0.43647070261554299</v>
      </c>
      <c r="E174">
        <v>0.118002661663511</v>
      </c>
    </row>
    <row r="175" spans="1:5" x14ac:dyDescent="0.4">
      <c r="A175" s="1">
        <v>44347</v>
      </c>
      <c r="B175">
        <v>0.34080731651321799</v>
      </c>
      <c r="C175">
        <v>8.7644462246557406E-2</v>
      </c>
      <c r="D175">
        <v>0.29449665342432102</v>
      </c>
      <c r="E175">
        <v>0.103457935150275</v>
      </c>
    </row>
    <row r="176" spans="1:5" x14ac:dyDescent="0.4">
      <c r="A176" s="1">
        <v>44377</v>
      </c>
      <c r="B176">
        <v>0.227750736760127</v>
      </c>
      <c r="C176">
        <v>-6.3378793391663697E-3</v>
      </c>
      <c r="D176">
        <v>0.28777019230928502</v>
      </c>
      <c r="E176">
        <v>0.1144913588623</v>
      </c>
    </row>
    <row r="177" spans="1:5" x14ac:dyDescent="0.4">
      <c r="A177" s="1">
        <v>44408</v>
      </c>
      <c r="B177">
        <v>0.15249030020579901</v>
      </c>
      <c r="C177">
        <v>-7.0535224664215607E-2</v>
      </c>
      <c r="D177">
        <v>0.283204336972671</v>
      </c>
      <c r="E177">
        <v>0.12730015453535501</v>
      </c>
    </row>
    <row r="178" spans="1:5" x14ac:dyDescent="0.4">
      <c r="A178" s="1">
        <v>44439</v>
      </c>
      <c r="B178">
        <v>0.23702169232909201</v>
      </c>
      <c r="C178">
        <v>3.0039183498089899E-3</v>
      </c>
      <c r="D178">
        <v>0.23666520532900701</v>
      </c>
      <c r="E178">
        <v>7.4180197538350701E-2</v>
      </c>
    </row>
    <row r="179" spans="1:5" x14ac:dyDescent="0.4">
      <c r="A179" s="1">
        <v>44469</v>
      </c>
      <c r="B179">
        <v>0.24161859879279701</v>
      </c>
      <c r="C179">
        <v>2.25522933942084E-2</v>
      </c>
      <c r="D179">
        <v>0.20648024928766301</v>
      </c>
      <c r="E179">
        <v>8.72202684246461E-2</v>
      </c>
    </row>
    <row r="180" spans="1:5" x14ac:dyDescent="0.4">
      <c r="A180" s="1">
        <v>44500</v>
      </c>
      <c r="B180">
        <v>0.327202733699482</v>
      </c>
      <c r="C180">
        <v>3.0703455323960498E-2</v>
      </c>
      <c r="D180">
        <v>0.33018887570685002</v>
      </c>
      <c r="E180">
        <v>2.4930422577722999E-2</v>
      </c>
    </row>
    <row r="181" spans="1:5" x14ac:dyDescent="0.4">
      <c r="A181" s="1">
        <v>44530</v>
      </c>
      <c r="B181">
        <v>0.28067301782491799</v>
      </c>
      <c r="C181">
        <v>-4.0736576207988699E-2</v>
      </c>
      <c r="D181">
        <v>0.346535639870308</v>
      </c>
      <c r="E181">
        <v>-1.4391590928813799E-2</v>
      </c>
    </row>
    <row r="182" spans="1:5" x14ac:dyDescent="0.4">
      <c r="A182" s="1">
        <v>44561</v>
      </c>
      <c r="B182">
        <v>0.31846036250877802</v>
      </c>
      <c r="C182">
        <v>-1.3775061032881401E-2</v>
      </c>
      <c r="D182">
        <v>0.30407805647217401</v>
      </c>
      <c r="E182">
        <v>-2.7616998782309301E-2</v>
      </c>
    </row>
    <row r="183" spans="1:5" x14ac:dyDescent="0.4">
      <c r="A183" s="1">
        <v>44592</v>
      </c>
      <c r="B183">
        <v>0.35794056897021997</v>
      </c>
      <c r="C183">
        <v>3.2050383985836602E-2</v>
      </c>
      <c r="D183">
        <v>0.33909396070122999</v>
      </c>
      <c r="E183">
        <v>6.8513950096009803E-3</v>
      </c>
    </row>
    <row r="184" spans="1:5" x14ac:dyDescent="0.4">
      <c r="A184" s="1">
        <v>44620</v>
      </c>
      <c r="B184">
        <v>0.33531575429481097</v>
      </c>
      <c r="C184">
        <v>-5.4309106035451199E-3</v>
      </c>
      <c r="D184">
        <v>0.34842505863867301</v>
      </c>
      <c r="E184">
        <v>1.32700855805065E-2</v>
      </c>
    </row>
    <row r="185" spans="1:5" x14ac:dyDescent="0.4">
      <c r="A185" s="1">
        <v>44651</v>
      </c>
      <c r="B185">
        <v>0.37097834081157799</v>
      </c>
      <c r="C185">
        <v>5.89714289349852E-2</v>
      </c>
      <c r="D185">
        <v>0.49598732830205899</v>
      </c>
      <c r="E185">
        <v>0.11094107238652499</v>
      </c>
    </row>
    <row r="186" spans="1:5" x14ac:dyDescent="0.4">
      <c r="A186" s="1">
        <v>44681</v>
      </c>
      <c r="B186">
        <v>0.38585418064052901</v>
      </c>
      <c r="C186">
        <v>0.17968685497603801</v>
      </c>
      <c r="D186">
        <v>0.48705167677982297</v>
      </c>
      <c r="E186">
        <v>0.146451170499594</v>
      </c>
    </row>
    <row r="187" spans="1:5" x14ac:dyDescent="0.4">
      <c r="A187" s="1">
        <v>44712</v>
      </c>
      <c r="B187">
        <v>0.383351874874717</v>
      </c>
      <c r="C187">
        <v>0.135407838211802</v>
      </c>
      <c r="D187">
        <v>0.48125878392062899</v>
      </c>
      <c r="E187">
        <v>0.13447740269126801</v>
      </c>
    </row>
    <row r="188" spans="1:5" x14ac:dyDescent="0.4">
      <c r="A188" s="1">
        <v>44742</v>
      </c>
      <c r="B188">
        <v>0.38469778140813898</v>
      </c>
      <c r="C188">
        <v>0.13153277319839199</v>
      </c>
      <c r="D188">
        <v>0.471920077667834</v>
      </c>
      <c r="E188">
        <v>0.103260649030192</v>
      </c>
    </row>
    <row r="189" spans="1:5" x14ac:dyDescent="0.4">
      <c r="A189" s="1">
        <v>44773</v>
      </c>
      <c r="B189">
        <v>0.40146927574852898</v>
      </c>
      <c r="C189">
        <v>0.10395627076700199</v>
      </c>
      <c r="D189">
        <v>0.47894906209979199</v>
      </c>
      <c r="E189">
        <v>9.6872203563729303E-2</v>
      </c>
    </row>
    <row r="190" spans="1:5" x14ac:dyDescent="0.4">
      <c r="A190" s="1">
        <v>44804</v>
      </c>
      <c r="B190">
        <v>0.476695184700418</v>
      </c>
      <c r="C190">
        <v>0.23844543316012401</v>
      </c>
      <c r="D190">
        <v>0.49762034521158499</v>
      </c>
      <c r="E190">
        <v>7.2777945402549699E-2</v>
      </c>
    </row>
    <row r="191" spans="1:5" x14ac:dyDescent="0.4">
      <c r="A191" s="1">
        <v>44834</v>
      </c>
      <c r="B191">
        <v>0.46616317230689702</v>
      </c>
      <c r="C191">
        <v>0.165586114151132</v>
      </c>
      <c r="D191">
        <v>0.49668794766681701</v>
      </c>
      <c r="E191">
        <v>4.0618796842017003E-2</v>
      </c>
    </row>
    <row r="192" spans="1:5" x14ac:dyDescent="0.4">
      <c r="A192" s="1">
        <v>44865</v>
      </c>
      <c r="B192">
        <v>0.34153888748741001</v>
      </c>
      <c r="C192">
        <v>0.124176913487481</v>
      </c>
      <c r="D192">
        <v>0.31761919124206101</v>
      </c>
      <c r="E192">
        <v>0.11320549185352199</v>
      </c>
    </row>
    <row r="193" spans="1:5" x14ac:dyDescent="0.4">
      <c r="A193" s="1">
        <v>44895</v>
      </c>
      <c r="B193">
        <v>0.34696760991227399</v>
      </c>
      <c r="C193">
        <v>0.10479740199222699</v>
      </c>
      <c r="D193">
        <v>0.33904372535072402</v>
      </c>
      <c r="E193">
        <v>7.40327026130599E-2</v>
      </c>
    </row>
    <row r="194" spans="1:5" x14ac:dyDescent="0.4">
      <c r="A194" s="1">
        <v>44926</v>
      </c>
      <c r="B194">
        <v>0.31634432672961699</v>
      </c>
      <c r="C194">
        <v>0.11093258667377399</v>
      </c>
      <c r="D194">
        <v>0.30286707625098602</v>
      </c>
      <c r="E194">
        <v>9.1330833697138999E-2</v>
      </c>
    </row>
    <row r="195" spans="1:5" x14ac:dyDescent="0.4">
      <c r="A195" s="1">
        <v>44957</v>
      </c>
      <c r="B195">
        <v>0.335054796318836</v>
      </c>
      <c r="C195">
        <v>0.12203285196629</v>
      </c>
      <c r="D195">
        <v>0.27396870496442499</v>
      </c>
      <c r="E195">
        <v>8.4571269201579799E-2</v>
      </c>
    </row>
    <row r="196" spans="1:5" x14ac:dyDescent="0.4">
      <c r="A196" s="1">
        <v>44985</v>
      </c>
      <c r="B196">
        <v>0.30757860945580301</v>
      </c>
      <c r="C196">
        <v>9.4211728568150299E-2</v>
      </c>
      <c r="D196">
        <v>0.207926578934121</v>
      </c>
      <c r="E196">
        <v>8.9516618537571105E-2</v>
      </c>
    </row>
    <row r="197" spans="1:5" x14ac:dyDescent="0.4">
      <c r="A197" s="1">
        <v>45016</v>
      </c>
      <c r="B197">
        <v>0.234399419017255</v>
      </c>
      <c r="C197">
        <v>1.5470160446476099E-2</v>
      </c>
      <c r="D197">
        <v>0.189298995003232</v>
      </c>
      <c r="E197">
        <v>0.13447342038046001</v>
      </c>
    </row>
    <row r="198" spans="1:5" x14ac:dyDescent="0.4">
      <c r="A198" s="1">
        <v>45046</v>
      </c>
      <c r="B198">
        <v>0.41377917932131802</v>
      </c>
      <c r="C198">
        <v>0.109141473340174</v>
      </c>
      <c r="D198">
        <v>8.0951545722146995E-2</v>
      </c>
      <c r="E198">
        <v>8.1572482264803403E-2</v>
      </c>
    </row>
    <row r="199" spans="1:5" x14ac:dyDescent="0.4">
      <c r="A199" s="1">
        <v>45077</v>
      </c>
      <c r="B199">
        <v>0.28203280857679103</v>
      </c>
      <c r="C199">
        <v>-5.3077186617839597E-2</v>
      </c>
      <c r="D199">
        <v>-0.25661082531350499</v>
      </c>
      <c r="E199">
        <v>2.34540495924953E-2</v>
      </c>
    </row>
    <row r="200" spans="1:5" x14ac:dyDescent="0.4">
      <c r="A200" s="1">
        <v>45107</v>
      </c>
      <c r="B200">
        <v>0.29556625653278801</v>
      </c>
      <c r="C200">
        <v>-1.6294672719644299E-2</v>
      </c>
      <c r="D200">
        <v>-0.209877665559903</v>
      </c>
      <c r="E200">
        <v>3.2322608442466101E-2</v>
      </c>
    </row>
    <row r="201" spans="1:5" x14ac:dyDescent="0.4">
      <c r="A201" s="1">
        <v>45138</v>
      </c>
      <c r="B201">
        <v>0.30481369865100399</v>
      </c>
      <c r="C201">
        <v>8.3007190119430002E-3</v>
      </c>
      <c r="D201">
        <v>-0.29688259891406998</v>
      </c>
      <c r="E201">
        <v>2.57301102195619E-2</v>
      </c>
    </row>
    <row r="202" spans="1:5" x14ac:dyDescent="0.4">
      <c r="A202" s="1">
        <v>45169</v>
      </c>
      <c r="B202">
        <v>0.31990812688814502</v>
      </c>
      <c r="C202">
        <v>9.0525641965648301E-2</v>
      </c>
      <c r="D202">
        <v>-0.38274089188350602</v>
      </c>
      <c r="E202">
        <v>8.2652363011132698E-2</v>
      </c>
    </row>
    <row r="203" spans="1:5" x14ac:dyDescent="0.4">
      <c r="A203" s="1">
        <v>45199</v>
      </c>
      <c r="B203">
        <v>0.30899672341981499</v>
      </c>
      <c r="C203">
        <v>5.0593236862876603E-2</v>
      </c>
      <c r="D203">
        <v>-0.35096267759656202</v>
      </c>
      <c r="E203">
        <v>3.6545784113491603E-2</v>
      </c>
    </row>
    <row r="204" spans="1:5" x14ac:dyDescent="0.4">
      <c r="A204" s="1">
        <v>45230</v>
      </c>
      <c r="B204">
        <v>0.25541219555775901</v>
      </c>
      <c r="C204">
        <v>5.1980653148402702E-2</v>
      </c>
      <c r="D204">
        <v>-0.157243569449211</v>
      </c>
      <c r="E204">
        <v>0.101502522877381</v>
      </c>
    </row>
    <row r="205" spans="1:5" x14ac:dyDescent="0.4">
      <c r="A205" s="1">
        <v>45260</v>
      </c>
      <c r="B205">
        <v>0.229310855481863</v>
      </c>
      <c r="C205">
        <v>5.4546084439790497E-2</v>
      </c>
      <c r="D205">
        <v>-0.179604123834711</v>
      </c>
      <c r="E205">
        <v>0.11178761333989</v>
      </c>
    </row>
    <row r="206" spans="1:5" x14ac:dyDescent="0.4">
      <c r="A206" s="1">
        <v>45291</v>
      </c>
      <c r="B206">
        <v>0.215000781934994</v>
      </c>
      <c r="C206">
        <v>4.6811609430699001E-2</v>
      </c>
      <c r="D206">
        <v>-4.6832241337969503E-2</v>
      </c>
      <c r="E206">
        <v>0.10193095982514</v>
      </c>
    </row>
    <row r="207" spans="1:5" x14ac:dyDescent="0.4">
      <c r="A207" s="1">
        <v>45322</v>
      </c>
      <c r="B207">
        <v>0.26666343332409098</v>
      </c>
      <c r="C207">
        <v>2.7775743754234101E-2</v>
      </c>
      <c r="D207">
        <v>0.12665839929831901</v>
      </c>
      <c r="E207">
        <v>0.100657701285084</v>
      </c>
    </row>
    <row r="208" spans="1:5" x14ac:dyDescent="0.4">
      <c r="A208" s="1">
        <v>45351</v>
      </c>
      <c r="B208">
        <v>0.24722497195005599</v>
      </c>
      <c r="C208">
        <v>-0.10651317243847799</v>
      </c>
      <c r="D208">
        <v>9.63037833815409E-2</v>
      </c>
      <c r="E208">
        <v>0.111960867624807</v>
      </c>
    </row>
    <row r="209" spans="1:5" x14ac:dyDescent="0.4">
      <c r="A209" s="1">
        <v>45382</v>
      </c>
      <c r="B209">
        <v>0.23636834923482999</v>
      </c>
      <c r="C209">
        <v>-0.11703921010749201</v>
      </c>
      <c r="D209">
        <v>0.123433842941354</v>
      </c>
      <c r="E209">
        <v>0.100686091113346</v>
      </c>
    </row>
    <row r="210" spans="1:5" x14ac:dyDescent="0.4">
      <c r="A210" s="1">
        <v>45412</v>
      </c>
      <c r="B210">
        <v>0.19397948822993</v>
      </c>
      <c r="C210">
        <v>-8.8375538862068295E-2</v>
      </c>
      <c r="D210">
        <v>0.25776709241686502</v>
      </c>
      <c r="E210">
        <v>6.2996271583514896E-2</v>
      </c>
    </row>
    <row r="211" spans="1:5" x14ac:dyDescent="0.4">
      <c r="A211" s="1">
        <v>45443</v>
      </c>
      <c r="B211">
        <v>0.22065766107450399</v>
      </c>
      <c r="C211">
        <v>-1.50895973388944E-2</v>
      </c>
      <c r="D211">
        <v>0.30611219704499798</v>
      </c>
      <c r="E211">
        <v>6.9210082583579996E-2</v>
      </c>
    </row>
    <row r="212" spans="1:5" x14ac:dyDescent="0.4">
      <c r="A212" s="1">
        <v>45473</v>
      </c>
      <c r="B212">
        <v>0.212833949525705</v>
      </c>
      <c r="C212">
        <v>-2.89620351213019E-2</v>
      </c>
      <c r="D212">
        <v>0.27922188158823102</v>
      </c>
      <c r="E212">
        <v>8.2820644591182505E-2</v>
      </c>
    </row>
    <row r="213" spans="1:5" x14ac:dyDescent="0.4">
      <c r="A213" s="1">
        <v>45504</v>
      </c>
      <c r="B213">
        <v>1.8784045525447701E-3</v>
      </c>
      <c r="C213">
        <v>2.87619367437187E-2</v>
      </c>
      <c r="D213">
        <v>0.39828177782599</v>
      </c>
      <c r="E213">
        <v>5.1502032236098602E-2</v>
      </c>
    </row>
    <row r="214" spans="1:5" x14ac:dyDescent="0.4">
      <c r="A214" s="1">
        <v>45535</v>
      </c>
      <c r="B214">
        <v>2.5715341800884101E-2</v>
      </c>
      <c r="C214">
        <v>-1.5131813983548899E-2</v>
      </c>
      <c r="D214">
        <v>0.52923582200597896</v>
      </c>
      <c r="E214">
        <v>-1.2225331976563499E-2</v>
      </c>
    </row>
    <row r="215" spans="1:5" x14ac:dyDescent="0.4">
      <c r="A215" s="1">
        <v>45565</v>
      </c>
      <c r="B215">
        <v>-2.19228637722776E-2</v>
      </c>
      <c r="C215">
        <v>-3.9103915414589803E-2</v>
      </c>
      <c r="D215">
        <v>0.28125087111671199</v>
      </c>
      <c r="E215">
        <v>0.24018941212464701</v>
      </c>
    </row>
    <row r="216" spans="1:5" x14ac:dyDescent="0.4">
      <c r="A216" s="1">
        <v>45596</v>
      </c>
      <c r="B216">
        <v>-9.0308158037504305E-2</v>
      </c>
      <c r="C216">
        <v>2.0924156013220601E-2</v>
      </c>
      <c r="D216">
        <v>0.24018027976548201</v>
      </c>
      <c r="E216">
        <v>4.3585027945061E-2</v>
      </c>
    </row>
    <row r="217" spans="1:5" x14ac:dyDescent="0.4">
      <c r="A217" s="1">
        <v>45626</v>
      </c>
      <c r="B217">
        <v>0</v>
      </c>
      <c r="C217">
        <v>0</v>
      </c>
      <c r="D217">
        <v>0.14259654493728799</v>
      </c>
      <c r="E217">
        <v>-2.22315652628415E-2</v>
      </c>
    </row>
    <row r="218" spans="1:5" x14ac:dyDescent="0.4">
      <c r="A218" s="1">
        <v>45657</v>
      </c>
      <c r="B218">
        <v>-0.137095110479827</v>
      </c>
      <c r="C218">
        <v>2.2327713006117099E-2</v>
      </c>
      <c r="D218">
        <v>0.23531688149923999</v>
      </c>
      <c r="E218">
        <v>-5.15662939191254E-2</v>
      </c>
    </row>
    <row r="219" spans="1:5" x14ac:dyDescent="0.4">
      <c r="A219" s="1">
        <v>45688</v>
      </c>
      <c r="B219">
        <v>-5.4745969357419898E-2</v>
      </c>
      <c r="C219">
        <v>-2.32827529370528E-2</v>
      </c>
      <c r="D219">
        <v>0.12927168858143501</v>
      </c>
      <c r="E219">
        <v>7.5611131968564102E-2</v>
      </c>
    </row>
    <row r="220" spans="1:5" x14ac:dyDescent="0.4">
      <c r="A220" s="1">
        <v>45716</v>
      </c>
      <c r="B220">
        <v>3.2562860320731898E-2</v>
      </c>
      <c r="C220">
        <v>-5.3251570709833898E-2</v>
      </c>
      <c r="D220">
        <v>9.4137105011359898E-2</v>
      </c>
      <c r="E220">
        <v>-3.3372312717299901E-2</v>
      </c>
    </row>
    <row r="221" spans="1:5" x14ac:dyDescent="0.4">
      <c r="A221" s="1">
        <v>45747</v>
      </c>
      <c r="B221">
        <v>2.7929724240987299E-2</v>
      </c>
      <c r="C221">
        <v>-2.2988797373192999E-2</v>
      </c>
      <c r="D221">
        <v>2.4550970271195301E-2</v>
      </c>
      <c r="E221">
        <v>-3.5992982272547797E-2</v>
      </c>
    </row>
    <row r="222" spans="1:5" x14ac:dyDescent="0.4">
      <c r="A222" s="1">
        <v>45777</v>
      </c>
      <c r="B222">
        <v>3.88157157511045E-3</v>
      </c>
      <c r="C222">
        <v>2.3795436196945699E-2</v>
      </c>
      <c r="D222">
        <v>9.5448003813824303E-2</v>
      </c>
      <c r="E222">
        <v>0.17544067595013399</v>
      </c>
    </row>
    <row r="223" spans="1:5" x14ac:dyDescent="0.4">
      <c r="A223" s="1">
        <v>45808</v>
      </c>
      <c r="B223">
        <v>-4.7951180338909098E-2</v>
      </c>
      <c r="C223">
        <v>3.2170459188035301E-2</v>
      </c>
      <c r="D223">
        <v>7.5317348009314805E-2</v>
      </c>
      <c r="E223">
        <v>9.8468349388278698E-2</v>
      </c>
    </row>
    <row r="224" spans="1:5" x14ac:dyDescent="0.4">
      <c r="A224" s="1">
        <v>45838</v>
      </c>
      <c r="B224">
        <v>-8.56476808421891E-2</v>
      </c>
      <c r="C224">
        <v>-4.5679220350194998E-2</v>
      </c>
      <c r="D224">
        <v>4.6783810002585503E-2</v>
      </c>
      <c r="E224">
        <v>0.107655008474119</v>
      </c>
    </row>
    <row r="225" spans="1:5" x14ac:dyDescent="0.4">
      <c r="A225" s="1">
        <v>45869</v>
      </c>
      <c r="B225">
        <v>6.3155319430213602E-2</v>
      </c>
      <c r="C225">
        <v>-3.21257093264719E-3</v>
      </c>
      <c r="D225">
        <v>7.7201545778775499E-2</v>
      </c>
      <c r="E225">
        <v>0.139009824496061</v>
      </c>
    </row>
    <row r="226" spans="1:5" x14ac:dyDescent="0.4">
      <c r="A226" s="1">
        <v>45900</v>
      </c>
      <c r="B226">
        <v>6.8062272841233298E-2</v>
      </c>
      <c r="C226">
        <v>-1.1114307240143799E-2</v>
      </c>
      <c r="D226">
        <v>-2.0032006240260501E-2</v>
      </c>
      <c r="E226">
        <v>4.5754509952800303E-2</v>
      </c>
    </row>
    <row r="227" spans="1:5" x14ac:dyDescent="0.4">
      <c r="A227" s="1">
        <v>45930</v>
      </c>
      <c r="B227">
        <v>-1.6122513890990099E-2</v>
      </c>
      <c r="C227">
        <v>4.5382763364737198E-2</v>
      </c>
      <c r="D227">
        <v>-4.8881229219289002E-2</v>
      </c>
      <c r="E227">
        <v>8.7322652968734801E-3</v>
      </c>
    </row>
    <row r="228" spans="1:5" x14ac:dyDescent="0.4">
      <c r="A228" s="1">
        <v>45961</v>
      </c>
      <c r="B228">
        <v>6.5531278622669401E-2</v>
      </c>
      <c r="C228">
        <v>-6.6966718191435307E-2</v>
      </c>
      <c r="D228">
        <v>9.5641741292338198E-2</v>
      </c>
      <c r="E228">
        <v>-3.86652680847046E-2</v>
      </c>
    </row>
    <row r="229" spans="1:5" x14ac:dyDescent="0.4">
      <c r="A229" s="1">
        <v>45991</v>
      </c>
      <c r="B229">
        <v>-4.0180872721547398E-2</v>
      </c>
      <c r="C229">
        <v>6.74762952376982E-2</v>
      </c>
      <c r="D229">
        <v>0.16121090471154201</v>
      </c>
      <c r="E229">
        <v>7.9504965571136593E-2</v>
      </c>
    </row>
    <row r="230" spans="1:5" x14ac:dyDescent="0.4">
      <c r="A230" s="1">
        <v>46022</v>
      </c>
      <c r="B230">
        <v>2.48147957184278E-2</v>
      </c>
      <c r="C230">
        <v>-2.03673088981281E-2</v>
      </c>
      <c r="D230">
        <v>9.1369951595735799E-2</v>
      </c>
      <c r="E230">
        <v>-8.8743670107107001E-2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0"/>
  <sheetViews>
    <sheetView workbookViewId="0">
      <selection activeCell="F227" sqref="F27:F227"/>
    </sheetView>
  </sheetViews>
  <sheetFormatPr defaultRowHeight="13.9" x14ac:dyDescent="0.4"/>
  <cols>
    <col min="1" max="1" width="10.46484375" bestFit="1" customWidth="1"/>
  </cols>
  <sheetData>
    <row r="1" spans="1:6" x14ac:dyDescent="0.4">
      <c r="B1" s="2" t="s">
        <v>19</v>
      </c>
      <c r="D1" s="2" t="s">
        <v>18</v>
      </c>
      <c r="F1" s="2" t="s">
        <v>19</v>
      </c>
    </row>
    <row r="2" spans="1:6" x14ac:dyDescent="0.4">
      <c r="A2" s="1">
        <v>39082</v>
      </c>
      <c r="B2" t="s">
        <v>17</v>
      </c>
      <c r="C2" t="s">
        <v>17</v>
      </c>
      <c r="D2" t="s">
        <v>17</v>
      </c>
      <c r="E2" t="s">
        <v>17</v>
      </c>
    </row>
    <row r="3" spans="1:6" x14ac:dyDescent="0.4">
      <c r="A3" s="1">
        <v>39113</v>
      </c>
      <c r="B3" t="s">
        <v>17</v>
      </c>
      <c r="C3" t="s">
        <v>17</v>
      </c>
      <c r="D3" t="s">
        <v>17</v>
      </c>
      <c r="E3" t="s">
        <v>17</v>
      </c>
    </row>
    <row r="4" spans="1:6" x14ac:dyDescent="0.4">
      <c r="A4" s="1">
        <v>39141</v>
      </c>
      <c r="B4" t="s">
        <v>17</v>
      </c>
      <c r="C4" t="s">
        <v>17</v>
      </c>
      <c r="D4" t="s">
        <v>17</v>
      </c>
      <c r="E4" t="s">
        <v>17</v>
      </c>
    </row>
    <row r="5" spans="1:6" x14ac:dyDescent="0.4">
      <c r="A5" s="1">
        <v>39172</v>
      </c>
      <c r="B5" t="s">
        <v>17</v>
      </c>
      <c r="C5" t="s">
        <v>17</v>
      </c>
      <c r="D5" t="s">
        <v>17</v>
      </c>
      <c r="E5" t="s">
        <v>17</v>
      </c>
    </row>
    <row r="6" spans="1:6" x14ac:dyDescent="0.4">
      <c r="A6" s="1">
        <v>39202</v>
      </c>
      <c r="B6" t="s">
        <v>17</v>
      </c>
      <c r="C6" t="s">
        <v>17</v>
      </c>
      <c r="D6" t="s">
        <v>17</v>
      </c>
      <c r="E6" t="s">
        <v>17</v>
      </c>
    </row>
    <row r="7" spans="1:6" x14ac:dyDescent="0.4">
      <c r="A7" s="1">
        <v>39233</v>
      </c>
      <c r="B7" t="s">
        <v>17</v>
      </c>
      <c r="C7" t="s">
        <v>17</v>
      </c>
      <c r="D7" t="s">
        <v>17</v>
      </c>
      <c r="E7" t="s">
        <v>17</v>
      </c>
    </row>
    <row r="8" spans="1:6" x14ac:dyDescent="0.4">
      <c r="A8" s="1">
        <v>39263</v>
      </c>
      <c r="B8" t="s">
        <v>17</v>
      </c>
      <c r="C8" t="s">
        <v>17</v>
      </c>
      <c r="D8" t="s">
        <v>17</v>
      </c>
      <c r="E8" t="s">
        <v>17</v>
      </c>
    </row>
    <row r="9" spans="1:6" x14ac:dyDescent="0.4">
      <c r="A9" s="1">
        <v>39294</v>
      </c>
      <c r="B9" t="s">
        <v>17</v>
      </c>
      <c r="C9" t="s">
        <v>17</v>
      </c>
      <c r="D9" t="s">
        <v>17</v>
      </c>
      <c r="E9" t="s">
        <v>17</v>
      </c>
    </row>
    <row r="10" spans="1:6" x14ac:dyDescent="0.4">
      <c r="A10" s="1">
        <v>39325</v>
      </c>
      <c r="B10" t="s">
        <v>17</v>
      </c>
      <c r="C10" t="s">
        <v>17</v>
      </c>
      <c r="D10" t="s">
        <v>17</v>
      </c>
      <c r="E10" t="s">
        <v>17</v>
      </c>
    </row>
    <row r="11" spans="1:6" x14ac:dyDescent="0.4">
      <c r="A11" s="1">
        <v>39355</v>
      </c>
      <c r="B11" t="s">
        <v>17</v>
      </c>
      <c r="C11" t="s">
        <v>17</v>
      </c>
      <c r="D11" t="s">
        <v>17</v>
      </c>
      <c r="E11" t="s">
        <v>17</v>
      </c>
    </row>
    <row r="12" spans="1:6" x14ac:dyDescent="0.4">
      <c r="A12" s="1">
        <v>39386</v>
      </c>
      <c r="B12" t="s">
        <v>17</v>
      </c>
      <c r="C12" t="s">
        <v>17</v>
      </c>
      <c r="D12" t="s">
        <v>17</v>
      </c>
      <c r="E12" t="s">
        <v>17</v>
      </c>
    </row>
    <row r="13" spans="1:6" x14ac:dyDescent="0.4">
      <c r="A13" s="1">
        <v>39416</v>
      </c>
      <c r="B13" t="s">
        <v>17</v>
      </c>
      <c r="C13" t="s">
        <v>17</v>
      </c>
      <c r="D13" t="s">
        <v>17</v>
      </c>
      <c r="E13" t="s">
        <v>17</v>
      </c>
    </row>
    <row r="14" spans="1:6" x14ac:dyDescent="0.4">
      <c r="A14" s="1">
        <v>39447</v>
      </c>
      <c r="B14" t="s">
        <v>17</v>
      </c>
      <c r="C14" t="s">
        <v>17</v>
      </c>
      <c r="D14" t="s">
        <v>17</v>
      </c>
      <c r="E14" t="s">
        <v>17</v>
      </c>
    </row>
    <row r="15" spans="1:6" x14ac:dyDescent="0.4">
      <c r="A15" s="1">
        <v>39478</v>
      </c>
      <c r="B15" t="s">
        <v>17</v>
      </c>
      <c r="C15" t="s">
        <v>17</v>
      </c>
      <c r="D15" t="s">
        <v>17</v>
      </c>
      <c r="E15" t="s">
        <v>17</v>
      </c>
    </row>
    <row r="16" spans="1:6" x14ac:dyDescent="0.4">
      <c r="A16" s="1">
        <v>39507</v>
      </c>
      <c r="B16" t="s">
        <v>17</v>
      </c>
      <c r="C16" t="s">
        <v>17</v>
      </c>
      <c r="D16" t="s">
        <v>17</v>
      </c>
      <c r="E16" t="s">
        <v>17</v>
      </c>
    </row>
    <row r="17" spans="1:6" x14ac:dyDescent="0.4">
      <c r="A17" s="1">
        <v>39538</v>
      </c>
      <c r="B17" t="s">
        <v>17</v>
      </c>
      <c r="C17" t="s">
        <v>17</v>
      </c>
      <c r="D17" t="s">
        <v>17</v>
      </c>
      <c r="E17" t="s">
        <v>17</v>
      </c>
    </row>
    <row r="18" spans="1:6" x14ac:dyDescent="0.4">
      <c r="A18" s="1">
        <v>39568</v>
      </c>
      <c r="B18" t="s">
        <v>17</v>
      </c>
      <c r="C18" t="s">
        <v>17</v>
      </c>
      <c r="D18" t="s">
        <v>17</v>
      </c>
      <c r="E18" t="s">
        <v>17</v>
      </c>
    </row>
    <row r="19" spans="1:6" x14ac:dyDescent="0.4">
      <c r="A19" s="1">
        <v>39599</v>
      </c>
      <c r="B19" t="s">
        <v>17</v>
      </c>
      <c r="C19" t="s">
        <v>17</v>
      </c>
      <c r="D19" t="s">
        <v>17</v>
      </c>
      <c r="E19" t="s">
        <v>17</v>
      </c>
    </row>
    <row r="20" spans="1:6" x14ac:dyDescent="0.4">
      <c r="A20" s="1">
        <v>39629</v>
      </c>
      <c r="B20" t="s">
        <v>17</v>
      </c>
      <c r="C20" t="s">
        <v>17</v>
      </c>
      <c r="D20" t="s">
        <v>17</v>
      </c>
      <c r="E20" t="s">
        <v>17</v>
      </c>
    </row>
    <row r="21" spans="1:6" x14ac:dyDescent="0.4">
      <c r="A21" s="1">
        <v>39660</v>
      </c>
      <c r="B21" t="s">
        <v>17</v>
      </c>
      <c r="C21" t="s">
        <v>17</v>
      </c>
      <c r="D21" t="s">
        <v>17</v>
      </c>
      <c r="E21" t="s">
        <v>17</v>
      </c>
    </row>
    <row r="22" spans="1:6" x14ac:dyDescent="0.4">
      <c r="A22" s="1">
        <v>39691</v>
      </c>
      <c r="B22" t="s">
        <v>17</v>
      </c>
      <c r="C22" t="s">
        <v>17</v>
      </c>
      <c r="D22" t="s">
        <v>17</v>
      </c>
      <c r="E22" t="s">
        <v>17</v>
      </c>
    </row>
    <row r="23" spans="1:6" x14ac:dyDescent="0.4">
      <c r="A23" s="1">
        <v>39721</v>
      </c>
      <c r="B23" t="s">
        <v>17</v>
      </c>
      <c r="C23" t="s">
        <v>17</v>
      </c>
      <c r="D23" t="s">
        <v>17</v>
      </c>
      <c r="E23" t="s">
        <v>17</v>
      </c>
    </row>
    <row r="24" spans="1:6" x14ac:dyDescent="0.4">
      <c r="A24" s="1">
        <v>39752</v>
      </c>
      <c r="B24" t="s">
        <v>17</v>
      </c>
      <c r="C24" t="s">
        <v>17</v>
      </c>
      <c r="D24" t="s">
        <v>17</v>
      </c>
      <c r="E24" t="s">
        <v>17</v>
      </c>
    </row>
    <row r="25" spans="1:6" x14ac:dyDescent="0.4">
      <c r="A25" s="1">
        <v>39782</v>
      </c>
      <c r="B25" t="s">
        <v>17</v>
      </c>
      <c r="C25" t="s">
        <v>17</v>
      </c>
      <c r="D25" t="s">
        <v>17</v>
      </c>
      <c r="E25" t="s">
        <v>17</v>
      </c>
    </row>
    <row r="26" spans="1:6" x14ac:dyDescent="0.4">
      <c r="A26" s="1">
        <v>39813</v>
      </c>
      <c r="B26" t="s">
        <v>17</v>
      </c>
      <c r="C26" t="s">
        <v>17</v>
      </c>
      <c r="D26" t="s">
        <v>17</v>
      </c>
      <c r="E26" t="s">
        <v>17</v>
      </c>
    </row>
    <row r="27" spans="1:6" x14ac:dyDescent="0.4">
      <c r="A27" s="1">
        <v>39844</v>
      </c>
      <c r="B27">
        <v>9.8574449833199004E-2</v>
      </c>
      <c r="C27">
        <v>-0.20759488305778601</v>
      </c>
      <c r="D27">
        <v>-0.11739232258441699</v>
      </c>
      <c r="E27">
        <v>-0.18230137293989601</v>
      </c>
      <c r="F27" s="2">
        <f>AVERAGE(B$27:B27)</f>
        <v>9.8574449833199004E-2</v>
      </c>
    </row>
    <row r="28" spans="1:6" x14ac:dyDescent="0.4">
      <c r="A28" s="1">
        <v>39872</v>
      </c>
      <c r="B28">
        <v>0.24102777342513601</v>
      </c>
      <c r="C28">
        <v>-0.138930368427511</v>
      </c>
      <c r="D28">
        <v>1.0053498771846E-2</v>
      </c>
      <c r="E28">
        <v>-9.9548949802180195E-2</v>
      </c>
      <c r="F28" s="2">
        <f>AVERAGE(B$27:B28)</f>
        <v>0.1698011116291675</v>
      </c>
    </row>
    <row r="29" spans="1:6" x14ac:dyDescent="0.4">
      <c r="A29" s="1">
        <v>39903</v>
      </c>
      <c r="B29">
        <v>9.9671270853596602E-2</v>
      </c>
      <c r="C29">
        <v>-0.10767077977917799</v>
      </c>
      <c r="D29">
        <v>-1.7684505370231599E-2</v>
      </c>
      <c r="E29">
        <v>-7.1479105756726904E-2</v>
      </c>
      <c r="F29" s="2">
        <f>AVERAGE(B27:B29)</f>
        <v>0.14642449803731053</v>
      </c>
    </row>
    <row r="30" spans="1:6" x14ac:dyDescent="0.4">
      <c r="A30" s="1">
        <v>39933</v>
      </c>
      <c r="B30">
        <v>0.11014669474880499</v>
      </c>
      <c r="C30">
        <v>-9.9948453191104195E-2</v>
      </c>
      <c r="D30">
        <v>-9.0538594408449399E-2</v>
      </c>
      <c r="E30">
        <v>5.7168660335906799E-2</v>
      </c>
      <c r="F30" s="2">
        <f t="shared" ref="F30:F93" si="0">AVERAGE(B28:B30)</f>
        <v>0.1502819130091792</v>
      </c>
    </row>
    <row r="31" spans="1:6" x14ac:dyDescent="0.4">
      <c r="A31" s="1">
        <v>39964</v>
      </c>
      <c r="B31">
        <v>-0.21375349180289799</v>
      </c>
      <c r="C31">
        <v>-6.6581030300567695E-2</v>
      </c>
      <c r="D31">
        <v>-0.122195692162332</v>
      </c>
      <c r="E31">
        <v>-5.2598379052345998E-3</v>
      </c>
      <c r="F31" s="2">
        <f t="shared" si="0"/>
        <v>-1.3118420668321307E-3</v>
      </c>
    </row>
    <row r="32" spans="1:6" x14ac:dyDescent="0.4">
      <c r="A32" s="1">
        <v>39994</v>
      </c>
      <c r="B32">
        <v>-3.2498967428978003E-2</v>
      </c>
      <c r="C32">
        <v>-0.11305750502831199</v>
      </c>
      <c r="D32">
        <v>-0.26633934934122599</v>
      </c>
      <c r="E32">
        <v>0.18192534271593999</v>
      </c>
      <c r="F32" s="2">
        <f t="shared" si="0"/>
        <v>-4.5368588161023661E-2</v>
      </c>
    </row>
    <row r="33" spans="1:6" x14ac:dyDescent="0.4">
      <c r="A33" s="1">
        <v>40025</v>
      </c>
      <c r="B33">
        <v>7.7887054780678604E-3</v>
      </c>
      <c r="C33">
        <v>-8.8417367672847302E-2</v>
      </c>
      <c r="D33">
        <v>-0.19457261658358399</v>
      </c>
      <c r="E33">
        <v>0.24603017556352599</v>
      </c>
      <c r="F33" s="2">
        <f t="shared" si="0"/>
        <v>-7.9487917917936038E-2</v>
      </c>
    </row>
    <row r="34" spans="1:6" x14ac:dyDescent="0.4">
      <c r="A34" s="1">
        <v>40056</v>
      </c>
      <c r="B34">
        <v>-1.98479460540304E-2</v>
      </c>
      <c r="C34">
        <v>-2.3540962633900001E-2</v>
      </c>
      <c r="D34">
        <v>0.105847219934078</v>
      </c>
      <c r="E34">
        <v>0.23156076448864901</v>
      </c>
      <c r="F34" s="2">
        <f t="shared" si="0"/>
        <v>-1.4852736001646848E-2</v>
      </c>
    </row>
    <row r="35" spans="1:6" x14ac:dyDescent="0.4">
      <c r="A35" s="1">
        <v>40086</v>
      </c>
      <c r="B35">
        <v>-3.8585697782888298E-2</v>
      </c>
      <c r="C35">
        <v>-8.3577599197613393E-3</v>
      </c>
      <c r="D35">
        <v>5.2952968811065398E-3</v>
      </c>
      <c r="E35">
        <v>-3.3831176053805902E-2</v>
      </c>
      <c r="F35" s="2">
        <f t="shared" si="0"/>
        <v>-1.6881646119616945E-2</v>
      </c>
    </row>
    <row r="36" spans="1:6" x14ac:dyDescent="0.4">
      <c r="A36" s="1">
        <v>40117</v>
      </c>
      <c r="B36">
        <v>4.2411108360992801E-2</v>
      </c>
      <c r="C36">
        <v>8.6080529767369393E-2</v>
      </c>
      <c r="D36">
        <v>0.21024338630545999</v>
      </c>
      <c r="E36">
        <v>-2.78519771089491E-2</v>
      </c>
      <c r="F36" s="2">
        <f t="shared" si="0"/>
        <v>-5.3408451586419645E-3</v>
      </c>
    </row>
    <row r="37" spans="1:6" x14ac:dyDescent="0.4">
      <c r="A37" s="1">
        <v>40147</v>
      </c>
      <c r="B37">
        <v>5.2137618174309501E-2</v>
      </c>
      <c r="C37">
        <v>-4.5899448165142498E-3</v>
      </c>
      <c r="D37">
        <v>0.28143145497049799</v>
      </c>
      <c r="E37">
        <v>-1.31207889531134E-2</v>
      </c>
      <c r="F37" s="2">
        <f t="shared" si="0"/>
        <v>1.8654342917471336E-2</v>
      </c>
    </row>
    <row r="38" spans="1:6" x14ac:dyDescent="0.4">
      <c r="A38" s="1">
        <v>40178</v>
      </c>
      <c r="B38">
        <v>6.9386151153098902E-2</v>
      </c>
      <c r="C38">
        <v>4.0795585531148398E-2</v>
      </c>
      <c r="D38">
        <v>0.37321311668792601</v>
      </c>
      <c r="E38">
        <v>-2.3077165049509501E-2</v>
      </c>
      <c r="F38" s="2">
        <f t="shared" si="0"/>
        <v>5.464495922946707E-2</v>
      </c>
    </row>
    <row r="39" spans="1:6" x14ac:dyDescent="0.4">
      <c r="A39" s="1">
        <v>40209</v>
      </c>
      <c r="B39">
        <v>0.17356343602657301</v>
      </c>
      <c r="C39">
        <v>0.174997799348518</v>
      </c>
      <c r="D39">
        <v>0.31694086621380901</v>
      </c>
      <c r="E39">
        <v>3.4871868125966397E-2</v>
      </c>
      <c r="F39" s="2">
        <f t="shared" si="0"/>
        <v>9.8362401784660478E-2</v>
      </c>
    </row>
    <row r="40" spans="1:6" x14ac:dyDescent="0.4">
      <c r="A40" s="1">
        <v>40237</v>
      </c>
      <c r="B40">
        <v>5.8274926746658101E-2</v>
      </c>
      <c r="C40">
        <v>0.18865732471909499</v>
      </c>
      <c r="D40">
        <v>0.270050498042608</v>
      </c>
      <c r="E40">
        <v>4.7850539340405202E-2</v>
      </c>
      <c r="F40" s="2">
        <f t="shared" si="0"/>
        <v>0.10040817130877666</v>
      </c>
    </row>
    <row r="41" spans="1:6" x14ac:dyDescent="0.4">
      <c r="A41" s="1">
        <v>40268</v>
      </c>
      <c r="B41">
        <v>4.0867587604761897E-2</v>
      </c>
      <c r="C41">
        <v>0.12114577657448999</v>
      </c>
      <c r="D41">
        <v>0.21015304732699999</v>
      </c>
      <c r="E41">
        <v>3.5597760962889202E-3</v>
      </c>
      <c r="F41" s="2">
        <f t="shared" si="0"/>
        <v>9.0901983459330996E-2</v>
      </c>
    </row>
    <row r="42" spans="1:6" x14ac:dyDescent="0.4">
      <c r="A42" s="1">
        <v>40298</v>
      </c>
      <c r="B42">
        <v>-1.9425828184570299E-2</v>
      </c>
      <c r="C42">
        <v>5.3121467073039198E-2</v>
      </c>
      <c r="D42">
        <v>0.25532482130644302</v>
      </c>
      <c r="E42">
        <v>-8.8281305132342502E-3</v>
      </c>
      <c r="F42" s="2">
        <f t="shared" si="0"/>
        <v>2.6572228722283233E-2</v>
      </c>
    </row>
    <row r="43" spans="1:6" x14ac:dyDescent="0.4">
      <c r="A43" s="1">
        <v>40329</v>
      </c>
      <c r="B43">
        <v>2.7271764054823299E-2</v>
      </c>
      <c r="C43">
        <v>0.23429008058652501</v>
      </c>
      <c r="D43">
        <v>0.506473124160426</v>
      </c>
      <c r="E43">
        <v>-4.1420964806434701E-2</v>
      </c>
      <c r="F43" s="2">
        <f t="shared" si="0"/>
        <v>1.62378411583383E-2</v>
      </c>
    </row>
    <row r="44" spans="1:6" x14ac:dyDescent="0.4">
      <c r="A44" s="1">
        <v>40359</v>
      </c>
      <c r="B44">
        <v>7.2909675118445301E-3</v>
      </c>
      <c r="C44">
        <v>0.197758174896078</v>
      </c>
      <c r="D44">
        <v>0.478399798277932</v>
      </c>
      <c r="E44">
        <v>-1.7465648810635801E-3</v>
      </c>
      <c r="F44" s="2">
        <f t="shared" si="0"/>
        <v>5.045634460699177E-3</v>
      </c>
    </row>
    <row r="45" spans="1:6" x14ac:dyDescent="0.4">
      <c r="A45" s="1">
        <v>40390</v>
      </c>
      <c r="B45">
        <v>-6.4340692457123903E-3</v>
      </c>
      <c r="C45">
        <v>0.181223160535534</v>
      </c>
      <c r="D45">
        <v>0.48991454611139401</v>
      </c>
      <c r="E45">
        <v>1.8959931022651099E-2</v>
      </c>
      <c r="F45" s="2">
        <f t="shared" si="0"/>
        <v>9.3762207736518138E-3</v>
      </c>
    </row>
    <row r="46" spans="1:6" x14ac:dyDescent="0.4">
      <c r="A46" s="1">
        <v>40421</v>
      </c>
      <c r="B46">
        <v>-0.100153092934676</v>
      </c>
      <c r="C46">
        <v>0.111817046957095</v>
      </c>
      <c r="D46">
        <v>0.48986255325046402</v>
      </c>
      <c r="E46">
        <v>4.4744810732161397E-2</v>
      </c>
      <c r="F46" s="2">
        <f t="shared" si="0"/>
        <v>-3.3098731556181288E-2</v>
      </c>
    </row>
    <row r="47" spans="1:6" x14ac:dyDescent="0.4">
      <c r="A47" s="1">
        <v>40451</v>
      </c>
      <c r="B47">
        <v>-5.8827784512716703E-2</v>
      </c>
      <c r="C47">
        <v>4.3800063871350201E-2</v>
      </c>
      <c r="D47">
        <v>0.45124689786535999</v>
      </c>
      <c r="E47">
        <v>0.111166026519968</v>
      </c>
      <c r="F47" s="2">
        <f t="shared" si="0"/>
        <v>-5.5138315564368372E-2</v>
      </c>
    </row>
    <row r="48" spans="1:6" x14ac:dyDescent="0.4">
      <c r="A48" s="1">
        <v>40482</v>
      </c>
      <c r="B48">
        <v>-4.9902751250674497E-2</v>
      </c>
      <c r="C48">
        <v>3.42978841814559E-2</v>
      </c>
      <c r="D48">
        <v>0.38092113753624601</v>
      </c>
      <c r="E48">
        <v>0.17851491324547</v>
      </c>
      <c r="F48" s="2">
        <f t="shared" si="0"/>
        <v>-6.9627876232689068E-2</v>
      </c>
    </row>
    <row r="49" spans="1:6" x14ac:dyDescent="0.4">
      <c r="A49" s="1">
        <v>40512</v>
      </c>
      <c r="B49">
        <v>-9.8320313836594203E-2</v>
      </c>
      <c r="C49">
        <v>0.20221368988233601</v>
      </c>
      <c r="D49">
        <v>0.45909249130063301</v>
      </c>
      <c r="E49">
        <v>0.198813530050127</v>
      </c>
      <c r="F49" s="2">
        <f t="shared" si="0"/>
        <v>-6.9016949866661806E-2</v>
      </c>
    </row>
    <row r="50" spans="1:6" x14ac:dyDescent="0.4">
      <c r="A50" s="1">
        <v>40543</v>
      </c>
      <c r="B50">
        <v>1.17867670956221E-3</v>
      </c>
      <c r="C50">
        <v>0.15938224617691699</v>
      </c>
      <c r="D50">
        <v>0.31553351556231002</v>
      </c>
      <c r="E50">
        <v>0.184796053928343</v>
      </c>
      <c r="F50" s="2">
        <f t="shared" si="0"/>
        <v>-4.901479612590217E-2</v>
      </c>
    </row>
    <row r="51" spans="1:6" x14ac:dyDescent="0.4">
      <c r="A51" s="1">
        <v>40574</v>
      </c>
      <c r="B51">
        <v>-2.2879335451071799E-2</v>
      </c>
      <c r="C51">
        <v>0.111384163695227</v>
      </c>
      <c r="D51">
        <v>0.32185163302205799</v>
      </c>
      <c r="E51">
        <v>0.19176466440423701</v>
      </c>
      <c r="F51" s="2">
        <f t="shared" si="0"/>
        <v>-4.000699085936793E-2</v>
      </c>
    </row>
    <row r="52" spans="1:6" x14ac:dyDescent="0.4">
      <c r="A52" s="1">
        <v>40602</v>
      </c>
      <c r="B52">
        <v>-6.7006951139039803E-2</v>
      </c>
      <c r="C52">
        <v>0.14176643229344599</v>
      </c>
      <c r="D52">
        <v>0.385328095629828</v>
      </c>
      <c r="E52">
        <v>0.20806809989554501</v>
      </c>
      <c r="F52" s="2">
        <f t="shared" si="0"/>
        <v>-2.9569203293516463E-2</v>
      </c>
    </row>
    <row r="53" spans="1:6" x14ac:dyDescent="0.4">
      <c r="A53" s="1">
        <v>40633</v>
      </c>
      <c r="B53">
        <v>6.9007992414003901E-3</v>
      </c>
      <c r="C53">
        <v>0.13786663226666701</v>
      </c>
      <c r="D53">
        <v>0.33608115015254503</v>
      </c>
      <c r="E53">
        <v>0.20167864082957301</v>
      </c>
      <c r="F53" s="2">
        <f t="shared" si="0"/>
        <v>-2.7661829116237074E-2</v>
      </c>
    </row>
    <row r="54" spans="1:6" x14ac:dyDescent="0.4">
      <c r="A54" s="1">
        <v>40663</v>
      </c>
      <c r="B54">
        <v>0.12208526669689</v>
      </c>
      <c r="C54">
        <v>0.25730109071325702</v>
      </c>
      <c r="D54">
        <v>0.39412798907013902</v>
      </c>
      <c r="E54">
        <v>0.18022409474354401</v>
      </c>
      <c r="F54" s="2">
        <f t="shared" si="0"/>
        <v>2.0659704933083532E-2</v>
      </c>
    </row>
    <row r="55" spans="1:6" x14ac:dyDescent="0.4">
      <c r="A55" s="1">
        <v>40694</v>
      </c>
      <c r="B55">
        <v>-1.7879316575160301E-2</v>
      </c>
      <c r="C55">
        <v>0.22790665128839899</v>
      </c>
      <c r="D55">
        <v>0.62609881005231105</v>
      </c>
      <c r="E55">
        <v>0.119422147058401</v>
      </c>
      <c r="F55" s="2">
        <f t="shared" si="0"/>
        <v>3.7035583121043367E-2</v>
      </c>
    </row>
    <row r="56" spans="1:6" x14ac:dyDescent="0.4">
      <c r="A56" s="1">
        <v>40724</v>
      </c>
      <c r="B56">
        <v>-0.123725567880046</v>
      </c>
      <c r="C56">
        <v>0.21006388096877901</v>
      </c>
      <c r="D56">
        <v>0.51124326668206699</v>
      </c>
      <c r="E56">
        <v>0.19482616849760501</v>
      </c>
      <c r="F56" s="2">
        <f t="shared" si="0"/>
        <v>-6.5065392527721005E-3</v>
      </c>
    </row>
    <row r="57" spans="1:6" x14ac:dyDescent="0.4">
      <c r="A57" s="1">
        <v>40755</v>
      </c>
      <c r="B57">
        <v>-1.0103976253295901E-2</v>
      </c>
      <c r="C57">
        <v>0.14022050420503299</v>
      </c>
      <c r="D57">
        <v>0.48893278541165702</v>
      </c>
      <c r="E57">
        <v>0.131676792684987</v>
      </c>
      <c r="F57" s="2">
        <f t="shared" si="0"/>
        <v>-5.0569620236167401E-2</v>
      </c>
    </row>
    <row r="58" spans="1:6" x14ac:dyDescent="0.4">
      <c r="A58" s="1">
        <v>40786</v>
      </c>
      <c r="B58">
        <v>2.91351140447467E-2</v>
      </c>
      <c r="C58">
        <v>0.14021138801072899</v>
      </c>
      <c r="D58">
        <v>0.44410975611369602</v>
      </c>
      <c r="E58">
        <v>9.9869526010409299E-2</v>
      </c>
      <c r="F58" s="2">
        <f t="shared" si="0"/>
        <v>-3.4898143362865071E-2</v>
      </c>
    </row>
    <row r="59" spans="1:6" x14ac:dyDescent="0.4">
      <c r="A59" s="1">
        <v>40816</v>
      </c>
      <c r="B59">
        <v>-7.0160491102388102E-3</v>
      </c>
      <c r="C59">
        <v>0.16807682517869299</v>
      </c>
      <c r="D59">
        <v>0.489529299933884</v>
      </c>
      <c r="E59">
        <v>7.2509829108639803E-2</v>
      </c>
      <c r="F59" s="2">
        <f t="shared" si="0"/>
        <v>4.0050295604039951E-3</v>
      </c>
    </row>
    <row r="60" spans="1:6" x14ac:dyDescent="0.4">
      <c r="A60" s="1">
        <v>40847</v>
      </c>
      <c r="B60">
        <v>4.10247529031037E-4</v>
      </c>
      <c r="C60">
        <v>0.193833547336658</v>
      </c>
      <c r="D60">
        <v>0.42101629260068302</v>
      </c>
      <c r="E60">
        <v>9.8482897442524905E-2</v>
      </c>
      <c r="F60" s="2">
        <f t="shared" si="0"/>
        <v>7.5097708211796415E-3</v>
      </c>
    </row>
    <row r="61" spans="1:6" x14ac:dyDescent="0.4">
      <c r="A61" s="1">
        <v>40877</v>
      </c>
      <c r="B61">
        <v>-6.8920197572993501E-3</v>
      </c>
      <c r="C61">
        <v>0.151293700930553</v>
      </c>
      <c r="D61">
        <v>0.39995638768613601</v>
      </c>
      <c r="E61">
        <v>9.15472238601657E-2</v>
      </c>
      <c r="F61" s="2">
        <f t="shared" si="0"/>
        <v>-4.4992737795023748E-3</v>
      </c>
    </row>
    <row r="62" spans="1:6" x14ac:dyDescent="0.4">
      <c r="A62" s="1">
        <v>40908</v>
      </c>
      <c r="B62">
        <v>-8.9331813619968101E-2</v>
      </c>
      <c r="C62">
        <v>0.120445010199386</v>
      </c>
      <c r="D62">
        <v>0.434835056894123</v>
      </c>
      <c r="E62">
        <v>0.14395957335409101</v>
      </c>
      <c r="F62" s="2">
        <f t="shared" si="0"/>
        <v>-3.1937861949412137E-2</v>
      </c>
    </row>
    <row r="63" spans="1:6" x14ac:dyDescent="0.4">
      <c r="A63" s="1">
        <v>40939</v>
      </c>
      <c r="B63">
        <v>-2.5224039977526699E-2</v>
      </c>
      <c r="C63">
        <v>0.15306828342322101</v>
      </c>
      <c r="D63">
        <v>0.39882554357523398</v>
      </c>
      <c r="E63">
        <v>6.6044498157929496E-2</v>
      </c>
      <c r="F63" s="2">
        <f t="shared" si="0"/>
        <v>-4.0482624451598052E-2</v>
      </c>
    </row>
    <row r="64" spans="1:6" x14ac:dyDescent="0.4">
      <c r="A64" s="1">
        <v>40968</v>
      </c>
      <c r="B64">
        <v>0.132089736819963</v>
      </c>
      <c r="C64">
        <v>0.163699751754569</v>
      </c>
      <c r="D64">
        <v>0.31639060735704</v>
      </c>
      <c r="E64">
        <v>5.2640724269333097E-2</v>
      </c>
      <c r="F64" s="2">
        <f t="shared" si="0"/>
        <v>5.844627740822732E-3</v>
      </c>
    </row>
    <row r="65" spans="1:6" x14ac:dyDescent="0.4">
      <c r="A65" s="1">
        <v>40999</v>
      </c>
      <c r="B65">
        <v>0.12590708845455401</v>
      </c>
      <c r="C65">
        <v>0.14084845761301401</v>
      </c>
      <c r="D65">
        <v>0.40987494771713701</v>
      </c>
      <c r="E65">
        <v>5.9112197933411E-2</v>
      </c>
      <c r="F65" s="2">
        <f t="shared" si="0"/>
        <v>7.7590928432330106E-2</v>
      </c>
    </row>
    <row r="66" spans="1:6" x14ac:dyDescent="0.4">
      <c r="A66" s="1">
        <v>41029</v>
      </c>
      <c r="B66">
        <v>2.9100933000087301E-2</v>
      </c>
      <c r="C66">
        <v>8.4467393077016395E-2</v>
      </c>
      <c r="D66">
        <v>0.35966537320856201</v>
      </c>
      <c r="E66">
        <v>0.231847128404185</v>
      </c>
      <c r="F66" s="2">
        <f t="shared" si="0"/>
        <v>9.5699252758201445E-2</v>
      </c>
    </row>
    <row r="67" spans="1:6" x14ac:dyDescent="0.4">
      <c r="A67" s="1">
        <v>41060</v>
      </c>
      <c r="B67">
        <v>-7.1520679271472404E-2</v>
      </c>
      <c r="C67">
        <v>0.19169060329502399</v>
      </c>
      <c r="D67">
        <v>0.43303385153106599</v>
      </c>
      <c r="E67">
        <v>0.16831545313229601</v>
      </c>
      <c r="F67" s="2">
        <f t="shared" si="0"/>
        <v>2.7829114061056304E-2</v>
      </c>
    </row>
    <row r="68" spans="1:6" x14ac:dyDescent="0.4">
      <c r="A68" s="1">
        <v>41090</v>
      </c>
      <c r="B68">
        <v>7.65845147780832E-3</v>
      </c>
      <c r="C68">
        <v>0.12849838140169301</v>
      </c>
      <c r="D68">
        <v>0.473839974811048</v>
      </c>
      <c r="E68">
        <v>0.202878331394447</v>
      </c>
      <c r="F68" s="2">
        <f t="shared" si="0"/>
        <v>-1.1587098264525595E-2</v>
      </c>
    </row>
    <row r="69" spans="1:6" x14ac:dyDescent="0.4">
      <c r="A69" s="1">
        <v>41121</v>
      </c>
      <c r="B69">
        <v>-0.12308386410149599</v>
      </c>
      <c r="C69">
        <v>0.13432490668424599</v>
      </c>
      <c r="D69">
        <v>0.47827176956401701</v>
      </c>
      <c r="E69">
        <v>0.13951876134071201</v>
      </c>
      <c r="F69" s="2">
        <f t="shared" si="0"/>
        <v>-6.2315363965053362E-2</v>
      </c>
    </row>
    <row r="70" spans="1:6" x14ac:dyDescent="0.4">
      <c r="A70" s="1">
        <v>41152</v>
      </c>
      <c r="B70">
        <v>-7.3894855309177304E-2</v>
      </c>
      <c r="C70">
        <v>0.102362309532845</v>
      </c>
      <c r="D70">
        <v>0.53427319971158604</v>
      </c>
      <c r="E70">
        <v>0.15279789851209699</v>
      </c>
      <c r="F70" s="2">
        <f t="shared" si="0"/>
        <v>-6.3106755977621665E-2</v>
      </c>
    </row>
    <row r="71" spans="1:6" x14ac:dyDescent="0.4">
      <c r="A71" s="1">
        <v>41182</v>
      </c>
      <c r="B71">
        <v>3.6251816800058401E-2</v>
      </c>
      <c r="C71">
        <v>0.107191578617084</v>
      </c>
      <c r="D71">
        <v>0.49407688192559102</v>
      </c>
      <c r="E71">
        <v>0.12546697020200301</v>
      </c>
      <c r="F71" s="2">
        <f t="shared" si="0"/>
        <v>-5.3575634203538301E-2</v>
      </c>
    </row>
    <row r="72" spans="1:6" x14ac:dyDescent="0.4">
      <c r="A72" s="1">
        <v>41213</v>
      </c>
      <c r="B72">
        <v>2.5964724584234E-2</v>
      </c>
      <c r="C72">
        <v>0.27544083149090898</v>
      </c>
      <c r="D72">
        <v>0.77091633365902901</v>
      </c>
      <c r="E72">
        <v>-2.79541236023426E-2</v>
      </c>
      <c r="F72" s="2">
        <f t="shared" si="0"/>
        <v>-3.8927713082949678E-3</v>
      </c>
    </row>
    <row r="73" spans="1:6" x14ac:dyDescent="0.4">
      <c r="A73" s="1">
        <v>41243</v>
      </c>
      <c r="B73">
        <v>-0.259015175527882</v>
      </c>
      <c r="C73">
        <v>0.23652147191119099</v>
      </c>
      <c r="D73">
        <v>0.81551802609830804</v>
      </c>
      <c r="E73">
        <v>-7.3816350053639596E-2</v>
      </c>
      <c r="F73" s="2">
        <f t="shared" si="0"/>
        <v>-6.5599544714529875E-2</v>
      </c>
    </row>
    <row r="74" spans="1:6" x14ac:dyDescent="0.4">
      <c r="A74" s="1">
        <v>41274</v>
      </c>
      <c r="B74">
        <v>2.06632705306979E-2</v>
      </c>
      <c r="C74">
        <v>0.28566831084188199</v>
      </c>
      <c r="D74">
        <v>0.69999795724581204</v>
      </c>
      <c r="E74">
        <v>-7.3602463014052905E-2</v>
      </c>
      <c r="F74" s="2">
        <f t="shared" si="0"/>
        <v>-7.0795726804316714E-2</v>
      </c>
    </row>
    <row r="75" spans="1:6" x14ac:dyDescent="0.4">
      <c r="A75" s="1">
        <v>41305</v>
      </c>
      <c r="B75">
        <v>-2.3269003545460999E-2</v>
      </c>
      <c r="C75">
        <v>0.39407364230535002</v>
      </c>
      <c r="D75">
        <v>0.60642932196877897</v>
      </c>
      <c r="E75">
        <v>-3.0391656062975801E-2</v>
      </c>
      <c r="F75" s="2">
        <f t="shared" si="0"/>
        <v>-8.7206969514215041E-2</v>
      </c>
    </row>
    <row r="76" spans="1:6" x14ac:dyDescent="0.4">
      <c r="A76" s="1">
        <v>41333</v>
      </c>
      <c r="B76">
        <v>1.1207557344712999E-2</v>
      </c>
      <c r="C76">
        <v>0.49053775021235901</v>
      </c>
      <c r="D76">
        <v>0.58571056135224597</v>
      </c>
      <c r="E76">
        <v>-2.0249303385199601E-2</v>
      </c>
      <c r="F76" s="2">
        <f t="shared" si="0"/>
        <v>2.8672747766499665E-3</v>
      </c>
    </row>
    <row r="77" spans="1:6" x14ac:dyDescent="0.4">
      <c r="A77" s="1">
        <v>41364</v>
      </c>
      <c r="B77">
        <v>4.4637914676390897E-3</v>
      </c>
      <c r="C77">
        <v>0.52721327073102497</v>
      </c>
      <c r="D77">
        <v>0.74362498157606804</v>
      </c>
      <c r="E77">
        <v>2.2777215219790901E-2</v>
      </c>
      <c r="F77" s="2">
        <f t="shared" si="0"/>
        <v>-2.5325515777029702E-3</v>
      </c>
    </row>
    <row r="78" spans="1:6" x14ac:dyDescent="0.4">
      <c r="A78" s="1">
        <v>41394</v>
      </c>
      <c r="B78">
        <v>5.4236260077637202E-3</v>
      </c>
      <c r="C78">
        <v>0.48003987925130998</v>
      </c>
      <c r="D78">
        <v>0.48843808638081199</v>
      </c>
      <c r="E78">
        <v>7.8551458734975696E-2</v>
      </c>
      <c r="F78" s="2">
        <f t="shared" si="0"/>
        <v>7.0316582733719367E-3</v>
      </c>
    </row>
    <row r="79" spans="1:6" x14ac:dyDescent="0.4">
      <c r="A79" s="1">
        <v>41425</v>
      </c>
      <c r="B79">
        <v>4.9218697424226202E-2</v>
      </c>
      <c r="C79">
        <v>0.42157939714760001</v>
      </c>
      <c r="D79">
        <v>0.36874352844119201</v>
      </c>
      <c r="E79">
        <v>0.16659893699162501</v>
      </c>
      <c r="F79" s="2">
        <f t="shared" si="0"/>
        <v>1.9702038299876337E-2</v>
      </c>
    </row>
    <row r="80" spans="1:6" x14ac:dyDescent="0.4">
      <c r="A80" s="1">
        <v>41455</v>
      </c>
      <c r="B80">
        <v>-0.143995337628021</v>
      </c>
      <c r="C80">
        <v>0.21112922619733501</v>
      </c>
      <c r="D80">
        <v>0.18560140999147001</v>
      </c>
      <c r="E80">
        <v>0.165080956017852</v>
      </c>
      <c r="F80" s="2">
        <f t="shared" si="0"/>
        <v>-2.9784338065343693E-2</v>
      </c>
    </row>
    <row r="81" spans="1:6" x14ac:dyDescent="0.4">
      <c r="A81" s="1">
        <v>41486</v>
      </c>
      <c r="B81">
        <v>-0.203780601485512</v>
      </c>
      <c r="C81">
        <v>0.28132638131979598</v>
      </c>
      <c r="D81">
        <v>0.42433164070102702</v>
      </c>
      <c r="E81">
        <v>0.28283861476372701</v>
      </c>
      <c r="F81" s="2">
        <f t="shared" si="0"/>
        <v>-9.9519080563102269E-2</v>
      </c>
    </row>
    <row r="82" spans="1:6" x14ac:dyDescent="0.4">
      <c r="A82" s="1">
        <v>41517</v>
      </c>
      <c r="B82">
        <v>9.6920576961315105E-2</v>
      </c>
      <c r="C82">
        <v>0.20421798888790099</v>
      </c>
      <c r="D82">
        <v>0.41980503891308302</v>
      </c>
      <c r="E82">
        <v>0.29555066652732298</v>
      </c>
      <c r="F82" s="2">
        <f t="shared" si="0"/>
        <v>-8.3618454050739296E-2</v>
      </c>
    </row>
    <row r="83" spans="1:6" x14ac:dyDescent="0.4">
      <c r="A83" s="1">
        <v>41547</v>
      </c>
      <c r="B83">
        <v>-4.78213929594015E-2</v>
      </c>
      <c r="C83">
        <v>0.17661515656829599</v>
      </c>
      <c r="D83">
        <v>0.29317192674891102</v>
      </c>
      <c r="E83">
        <v>0.19767448526926301</v>
      </c>
      <c r="F83" s="2">
        <f t="shared" si="0"/>
        <v>-5.15604724945328E-2</v>
      </c>
    </row>
    <row r="84" spans="1:6" x14ac:dyDescent="0.4">
      <c r="A84" s="1">
        <v>41578</v>
      </c>
      <c r="B84">
        <v>-2.25829273012415E-2</v>
      </c>
      <c r="C84">
        <v>0.12063441394477201</v>
      </c>
      <c r="D84">
        <v>0.25883115666149398</v>
      </c>
      <c r="E84">
        <v>0.31530853028927702</v>
      </c>
      <c r="F84" s="2">
        <f t="shared" si="0"/>
        <v>8.838752233557368E-3</v>
      </c>
    </row>
    <row r="85" spans="1:6" x14ac:dyDescent="0.4">
      <c r="A85" s="1">
        <v>41608</v>
      </c>
      <c r="B85">
        <v>-0.13741444519512899</v>
      </c>
      <c r="C85">
        <v>-1.8287066655525599E-3</v>
      </c>
      <c r="D85">
        <v>0.153753631342012</v>
      </c>
      <c r="E85">
        <v>0.274275482521664</v>
      </c>
      <c r="F85" s="2">
        <f t="shared" si="0"/>
        <v>-6.9272921818590669E-2</v>
      </c>
    </row>
    <row r="86" spans="1:6" x14ac:dyDescent="0.4">
      <c r="A86" s="1">
        <v>41639</v>
      </c>
      <c r="B86">
        <v>-4.2687719368618003E-2</v>
      </c>
      <c r="C86">
        <v>-3.54942439861749E-2</v>
      </c>
      <c r="D86">
        <v>0.16584651970938999</v>
      </c>
      <c r="E86">
        <v>0.26395056680726398</v>
      </c>
      <c r="F86" s="2">
        <f t="shared" si="0"/>
        <v>-6.7561697288329503E-2</v>
      </c>
    </row>
    <row r="87" spans="1:6" x14ac:dyDescent="0.4">
      <c r="A87" s="1">
        <v>41670</v>
      </c>
      <c r="B87">
        <v>9.4603158408995899E-3</v>
      </c>
      <c r="C87">
        <v>-4.6439485482157997E-2</v>
      </c>
      <c r="D87">
        <v>0.13127578135397999</v>
      </c>
      <c r="E87">
        <v>0.26456939670442398</v>
      </c>
      <c r="F87" s="2">
        <f t="shared" si="0"/>
        <v>-5.6880616240949138E-2</v>
      </c>
    </row>
    <row r="88" spans="1:6" x14ac:dyDescent="0.4">
      <c r="A88" s="1">
        <v>41698</v>
      </c>
      <c r="B88">
        <v>0.174894351279579</v>
      </c>
      <c r="C88">
        <v>4.0756555004301601E-2</v>
      </c>
      <c r="D88">
        <v>0.24898234355323001</v>
      </c>
      <c r="E88">
        <v>0.29077202641644501</v>
      </c>
      <c r="F88" s="2">
        <f t="shared" si="0"/>
        <v>4.7222315917286865E-2</v>
      </c>
    </row>
    <row r="89" spans="1:6" x14ac:dyDescent="0.4">
      <c r="A89" s="1">
        <v>41729</v>
      </c>
      <c r="B89">
        <v>-0.13001329070933701</v>
      </c>
      <c r="C89">
        <v>7.9326708544039098E-3</v>
      </c>
      <c r="D89">
        <v>0.19778687482150001</v>
      </c>
      <c r="E89">
        <v>0.252654849174686</v>
      </c>
      <c r="F89" s="2">
        <f t="shared" si="0"/>
        <v>1.8113792137047197E-2</v>
      </c>
    </row>
    <row r="90" spans="1:6" x14ac:dyDescent="0.4">
      <c r="A90" s="1">
        <v>41759</v>
      </c>
      <c r="B90">
        <v>-7.0767380266287996E-2</v>
      </c>
      <c r="C90">
        <v>-9.1171803012984904E-3</v>
      </c>
      <c r="D90">
        <v>0.13308962161822299</v>
      </c>
      <c r="E90">
        <v>5.0144004686465002E-2</v>
      </c>
      <c r="F90" s="2">
        <f t="shared" si="0"/>
        <v>-8.6287732320153351E-3</v>
      </c>
    </row>
    <row r="91" spans="1:6" x14ac:dyDescent="0.4">
      <c r="A91" s="1">
        <v>41790</v>
      </c>
      <c r="B91">
        <v>-9.4965294277446592E-3</v>
      </c>
      <c r="C91">
        <v>-3.8663447179264801E-2</v>
      </c>
      <c r="D91">
        <v>0.194212353964304</v>
      </c>
      <c r="E91">
        <v>9.5333401441363309E-3</v>
      </c>
      <c r="F91" s="2">
        <f t="shared" si="0"/>
        <v>-7.0092400134456556E-2</v>
      </c>
    </row>
    <row r="92" spans="1:6" x14ac:dyDescent="0.4">
      <c r="A92" s="1">
        <v>41820</v>
      </c>
      <c r="B92">
        <v>-0.16796538013555701</v>
      </c>
      <c r="C92">
        <v>-7.6075558939355303E-2</v>
      </c>
      <c r="D92">
        <v>2.61105293094663E-2</v>
      </c>
      <c r="E92">
        <v>1.306059864596E-2</v>
      </c>
      <c r="F92" s="2">
        <f t="shared" si="0"/>
        <v>-8.2743096609863218E-2</v>
      </c>
    </row>
    <row r="93" spans="1:6" x14ac:dyDescent="0.4">
      <c r="A93" s="1">
        <v>41851</v>
      </c>
      <c r="B93">
        <v>0.105559446280589</v>
      </c>
      <c r="C93">
        <v>7.5106946012284195E-2</v>
      </c>
      <c r="D93">
        <v>8.2095147536352997E-2</v>
      </c>
      <c r="E93">
        <v>0.118309217628272</v>
      </c>
      <c r="F93" s="2">
        <f t="shared" si="0"/>
        <v>-2.3967487760904221E-2</v>
      </c>
    </row>
    <row r="94" spans="1:6" x14ac:dyDescent="0.4">
      <c r="A94" s="1">
        <v>41882</v>
      </c>
      <c r="B94">
        <v>-5.0047790138616599E-2</v>
      </c>
      <c r="C94">
        <v>0.10228690098084001</v>
      </c>
      <c r="D94">
        <v>9.5718860775656195E-2</v>
      </c>
      <c r="E94">
        <v>0.114290361226404</v>
      </c>
      <c r="F94" s="2">
        <f t="shared" ref="F94:F157" si="1">AVERAGE(B92:B94)</f>
        <v>-3.7484574664528203E-2</v>
      </c>
    </row>
    <row r="95" spans="1:6" x14ac:dyDescent="0.4">
      <c r="A95" s="1">
        <v>41912</v>
      </c>
      <c r="B95">
        <v>-0.125947314563298</v>
      </c>
      <c r="C95">
        <v>1.0440463140159201E-2</v>
      </c>
      <c r="D95">
        <v>3.7006895973054198E-2</v>
      </c>
      <c r="E95">
        <v>5.0557698185076903E-2</v>
      </c>
      <c r="F95" s="2">
        <f t="shared" si="1"/>
        <v>-2.3478552807108533E-2</v>
      </c>
    </row>
    <row r="96" spans="1:6" x14ac:dyDescent="0.4">
      <c r="A96" s="1">
        <v>41943</v>
      </c>
      <c r="B96">
        <v>-8.2620397970478404E-2</v>
      </c>
      <c r="C96">
        <v>-4.3936391616322696E-3</v>
      </c>
      <c r="D96">
        <v>6.1171745776154897E-3</v>
      </c>
      <c r="E96">
        <v>0.128488302405078</v>
      </c>
      <c r="F96" s="2">
        <f t="shared" si="1"/>
        <v>-8.6205167557464324E-2</v>
      </c>
    </row>
    <row r="97" spans="1:6" x14ac:dyDescent="0.4">
      <c r="A97" s="1">
        <v>41973</v>
      </c>
      <c r="B97">
        <v>-5.1034293521150902E-2</v>
      </c>
      <c r="C97">
        <v>-0.101586862369307</v>
      </c>
      <c r="D97">
        <v>-8.4552043715212192E-3</v>
      </c>
      <c r="E97">
        <v>0.13016606805875</v>
      </c>
      <c r="F97" s="2">
        <f t="shared" si="1"/>
        <v>-8.6534002018309089E-2</v>
      </c>
    </row>
    <row r="98" spans="1:6" x14ac:dyDescent="0.4">
      <c r="A98" s="1">
        <v>42004</v>
      </c>
      <c r="B98">
        <v>-0.17584582881170799</v>
      </c>
      <c r="C98">
        <v>-0.214421934151972</v>
      </c>
      <c r="D98">
        <v>-0.55884769465839701</v>
      </c>
      <c r="E98">
        <v>0.13392299739563801</v>
      </c>
      <c r="F98" s="2">
        <f t="shared" si="1"/>
        <v>-0.10316684010111243</v>
      </c>
    </row>
    <row r="99" spans="1:6" x14ac:dyDescent="0.4">
      <c r="A99" s="1">
        <v>42035</v>
      </c>
      <c r="B99">
        <v>-0.21339338442895101</v>
      </c>
      <c r="C99">
        <v>-0.168379179498858</v>
      </c>
      <c r="D99">
        <v>-0.241437587723522</v>
      </c>
      <c r="E99">
        <v>0.162938410335774</v>
      </c>
      <c r="F99" s="2">
        <f t="shared" si="1"/>
        <v>-0.14675783558726996</v>
      </c>
    </row>
    <row r="100" spans="1:6" x14ac:dyDescent="0.4">
      <c r="A100" s="1">
        <v>42063</v>
      </c>
      <c r="B100">
        <v>-0.18376783641576899</v>
      </c>
      <c r="C100">
        <v>-0.20764623088054401</v>
      </c>
      <c r="D100">
        <v>-0.22016881259860699</v>
      </c>
      <c r="E100">
        <v>0.169863874331802</v>
      </c>
      <c r="F100" s="2">
        <f t="shared" si="1"/>
        <v>-0.19100234988547601</v>
      </c>
    </row>
    <row r="101" spans="1:6" x14ac:dyDescent="0.4">
      <c r="A101" s="1">
        <v>42094</v>
      </c>
      <c r="B101">
        <v>-4.5623250979086698E-2</v>
      </c>
      <c r="C101">
        <v>-0.198080910026593</v>
      </c>
      <c r="D101">
        <v>-0.17992787309032099</v>
      </c>
      <c r="E101">
        <v>0.17294184955719999</v>
      </c>
      <c r="F101" s="2">
        <f t="shared" si="1"/>
        <v>-0.14759482394126891</v>
      </c>
    </row>
    <row r="102" spans="1:6" x14ac:dyDescent="0.4">
      <c r="A102" s="1">
        <v>42124</v>
      </c>
      <c r="B102">
        <v>-6.8754187800189701E-2</v>
      </c>
      <c r="C102">
        <v>-0.21513303626969399</v>
      </c>
      <c r="D102">
        <v>-0.28202538850959702</v>
      </c>
      <c r="E102">
        <v>2.6618721407373001E-2</v>
      </c>
      <c r="F102" s="2">
        <f t="shared" si="1"/>
        <v>-9.9381758398348466E-2</v>
      </c>
    </row>
    <row r="103" spans="1:6" x14ac:dyDescent="0.4">
      <c r="A103" s="1">
        <v>42155</v>
      </c>
      <c r="B103">
        <v>-0.112768227040701</v>
      </c>
      <c r="C103">
        <v>-0.119830767589586</v>
      </c>
      <c r="D103">
        <v>-5.6365521354508001E-2</v>
      </c>
      <c r="E103">
        <v>-2.0227555863266501E-2</v>
      </c>
      <c r="F103" s="2">
        <f t="shared" si="1"/>
        <v>-7.5715221939992458E-2</v>
      </c>
    </row>
    <row r="104" spans="1:6" x14ac:dyDescent="0.4">
      <c r="A104" s="1">
        <v>42185</v>
      </c>
      <c r="B104">
        <v>0.115267913898524</v>
      </c>
      <c r="C104">
        <v>-8.5701581912886696E-2</v>
      </c>
      <c r="D104">
        <v>-0.13137585759909501</v>
      </c>
      <c r="E104">
        <v>1.4705015635715701E-2</v>
      </c>
      <c r="F104" s="2">
        <f t="shared" si="1"/>
        <v>-2.208483364745557E-2</v>
      </c>
    </row>
    <row r="105" spans="1:6" x14ac:dyDescent="0.4">
      <c r="A105" s="1">
        <v>42216</v>
      </c>
      <c r="B105">
        <v>-8.1219755711470207E-2</v>
      </c>
      <c r="C105">
        <v>-0.135132295517323</v>
      </c>
      <c r="D105">
        <v>3.6126926860830397E-2</v>
      </c>
      <c r="E105">
        <v>-2.3202391692064801E-2</v>
      </c>
      <c r="F105" s="2">
        <f t="shared" si="1"/>
        <v>-2.6240022951215733E-2</v>
      </c>
    </row>
    <row r="106" spans="1:6" x14ac:dyDescent="0.4">
      <c r="A106" s="1">
        <v>42247</v>
      </c>
      <c r="B106">
        <v>-3.53320881905324E-2</v>
      </c>
      <c r="C106">
        <v>-0.14576051143816501</v>
      </c>
      <c r="D106">
        <v>-0.13070059459348199</v>
      </c>
      <c r="E106">
        <v>2.20877678996041E-3</v>
      </c>
      <c r="F106" s="2">
        <f t="shared" si="1"/>
        <v>-4.2797666782620064E-4</v>
      </c>
    </row>
    <row r="107" spans="1:6" x14ac:dyDescent="0.4">
      <c r="A107" s="1">
        <v>42277</v>
      </c>
      <c r="B107">
        <v>-6.6654606700800201E-2</v>
      </c>
      <c r="C107">
        <v>-0.16653806879830299</v>
      </c>
      <c r="D107">
        <v>-0.22350837345164201</v>
      </c>
      <c r="E107">
        <v>7.5605647813767496E-2</v>
      </c>
      <c r="F107" s="2">
        <f t="shared" si="1"/>
        <v>-6.1068816867600934E-2</v>
      </c>
    </row>
    <row r="108" spans="1:6" x14ac:dyDescent="0.4">
      <c r="A108" s="1">
        <v>42308</v>
      </c>
      <c r="B108">
        <v>-5.4327349414967198E-3</v>
      </c>
      <c r="C108">
        <v>-0.15088665894162501</v>
      </c>
      <c r="D108">
        <v>-0.29935800586969602</v>
      </c>
      <c r="E108">
        <v>-3.4251770635808303E-2</v>
      </c>
      <c r="F108" s="2">
        <f t="shared" si="1"/>
        <v>-3.5806476610943112E-2</v>
      </c>
    </row>
    <row r="109" spans="1:6" x14ac:dyDescent="0.4">
      <c r="A109" s="1">
        <v>42338</v>
      </c>
      <c r="B109">
        <v>-3.58259024872606E-2</v>
      </c>
      <c r="C109">
        <v>-0.133808862866131</v>
      </c>
      <c r="D109">
        <v>-0.31924893867957399</v>
      </c>
      <c r="E109">
        <v>-4.9712131871971203E-2</v>
      </c>
      <c r="F109" s="2">
        <f t="shared" si="1"/>
        <v>-3.5971081376519172E-2</v>
      </c>
    </row>
    <row r="110" spans="1:6" x14ac:dyDescent="0.4">
      <c r="A110" s="1">
        <v>42369</v>
      </c>
      <c r="B110">
        <v>3.6112869740408997E-2</v>
      </c>
      <c r="C110">
        <v>-3.9671472304041902E-2</v>
      </c>
      <c r="D110">
        <v>-0.233320335090209</v>
      </c>
      <c r="E110">
        <v>-4.5966711085599798E-2</v>
      </c>
      <c r="F110" s="2">
        <f t="shared" si="1"/>
        <v>-1.7152558961161083E-3</v>
      </c>
    </row>
    <row r="111" spans="1:6" x14ac:dyDescent="0.4">
      <c r="A111" s="1">
        <v>42400</v>
      </c>
      <c r="B111">
        <v>-2.24949319574522E-2</v>
      </c>
      <c r="C111">
        <v>-6.2036987593141198E-2</v>
      </c>
      <c r="D111">
        <v>-0.263370105528976</v>
      </c>
      <c r="E111">
        <v>-4.4417822212155698E-2</v>
      </c>
      <c r="F111" s="2">
        <f t="shared" si="1"/>
        <v>-7.4026549014346013E-3</v>
      </c>
    </row>
    <row r="112" spans="1:6" x14ac:dyDescent="0.4">
      <c r="A112" s="1">
        <v>42429</v>
      </c>
      <c r="B112">
        <v>-8.9710664153689598E-2</v>
      </c>
      <c r="C112">
        <v>-9.4660915518873998E-2</v>
      </c>
      <c r="D112">
        <v>-0.26472592328362998</v>
      </c>
      <c r="E112">
        <v>-5.6570086364311198E-2</v>
      </c>
      <c r="F112" s="2">
        <f t="shared" si="1"/>
        <v>-2.5364242123577602E-2</v>
      </c>
    </row>
    <row r="113" spans="1:6" x14ac:dyDescent="0.4">
      <c r="A113" s="1">
        <v>42460</v>
      </c>
      <c r="B113">
        <v>0.163161463421377</v>
      </c>
      <c r="C113">
        <v>-0.17093100808400299</v>
      </c>
      <c r="D113">
        <v>-0.32103105247991498</v>
      </c>
      <c r="E113">
        <v>-4.6536905770776002E-2</v>
      </c>
      <c r="F113" s="2">
        <f t="shared" si="1"/>
        <v>1.6985289103411735E-2</v>
      </c>
    </row>
    <row r="114" spans="1:6" x14ac:dyDescent="0.4">
      <c r="A114" s="1">
        <v>42490</v>
      </c>
      <c r="B114">
        <v>0.110100439739641</v>
      </c>
      <c r="C114">
        <v>-9.4713178298746301E-2</v>
      </c>
      <c r="D114">
        <v>-0.298253052371384</v>
      </c>
      <c r="E114">
        <v>-4.06810552988425E-2</v>
      </c>
      <c r="F114" s="2">
        <f t="shared" si="1"/>
        <v>6.1183746335776133E-2</v>
      </c>
    </row>
    <row r="115" spans="1:6" x14ac:dyDescent="0.4">
      <c r="A115" s="1">
        <v>42521</v>
      </c>
      <c r="B115">
        <v>-3.2656111607151803E-2</v>
      </c>
      <c r="C115">
        <v>-0.195321703944245</v>
      </c>
      <c r="D115">
        <v>-0.35756585960409298</v>
      </c>
      <c r="E115">
        <v>-3.9772795907437E-2</v>
      </c>
      <c r="F115" s="2">
        <f t="shared" si="1"/>
        <v>8.0201930517955392E-2</v>
      </c>
    </row>
    <row r="116" spans="1:6" x14ac:dyDescent="0.4">
      <c r="A116" s="1">
        <v>42551</v>
      </c>
      <c r="B116">
        <v>-4.3486065754127202E-2</v>
      </c>
      <c r="C116">
        <v>-0.19358147602965001</v>
      </c>
      <c r="D116">
        <v>-0.33524238614697199</v>
      </c>
      <c r="E116">
        <v>-5.3885347120102199E-2</v>
      </c>
      <c r="F116" s="2">
        <f t="shared" si="1"/>
        <v>1.1319420792787331E-2</v>
      </c>
    </row>
    <row r="117" spans="1:6" x14ac:dyDescent="0.4">
      <c r="A117" s="1">
        <v>42582</v>
      </c>
      <c r="B117">
        <v>8.8649296713017703E-2</v>
      </c>
      <c r="C117">
        <v>-4.8572837102058598E-2</v>
      </c>
      <c r="D117">
        <v>-0.25145109919876701</v>
      </c>
      <c r="E117">
        <v>-5.5346514251799497E-2</v>
      </c>
      <c r="F117" s="2">
        <f t="shared" si="1"/>
        <v>4.1690397839128967E-3</v>
      </c>
    </row>
    <row r="118" spans="1:6" x14ac:dyDescent="0.4">
      <c r="A118" s="1">
        <v>42613</v>
      </c>
      <c r="B118">
        <v>3.9445314752407597E-2</v>
      </c>
      <c r="C118">
        <v>-7.78125041421346E-2</v>
      </c>
      <c r="D118">
        <v>-0.27432808831792699</v>
      </c>
      <c r="E118">
        <v>-6.8899467218653407E-2</v>
      </c>
      <c r="F118" s="2">
        <f t="shared" si="1"/>
        <v>2.82028485704327E-2</v>
      </c>
    </row>
    <row r="119" spans="1:6" x14ac:dyDescent="0.4">
      <c r="A119" s="1">
        <v>42643</v>
      </c>
      <c r="B119">
        <v>-7.0736668910549597E-2</v>
      </c>
      <c r="C119">
        <v>-9.78710819784602E-2</v>
      </c>
      <c r="D119">
        <v>-0.283882394409463</v>
      </c>
      <c r="E119">
        <v>-4.8405190991241701E-2</v>
      </c>
      <c r="F119" s="2">
        <f t="shared" si="1"/>
        <v>1.9119314184958571E-2</v>
      </c>
    </row>
    <row r="120" spans="1:6" x14ac:dyDescent="0.4">
      <c r="A120" s="1">
        <v>42674</v>
      </c>
      <c r="B120">
        <v>-6.43222243988818E-2</v>
      </c>
      <c r="C120">
        <v>-7.3542825738824605E-2</v>
      </c>
      <c r="D120">
        <v>-0.23739198073269899</v>
      </c>
      <c r="E120">
        <v>-5.12186477148351E-2</v>
      </c>
      <c r="F120" s="2">
        <f t="shared" si="1"/>
        <v>-3.1871192852341267E-2</v>
      </c>
    </row>
    <row r="121" spans="1:6" x14ac:dyDescent="0.4">
      <c r="A121" s="1">
        <v>42704</v>
      </c>
      <c r="B121">
        <v>3.3230366971962702E-2</v>
      </c>
      <c r="C121">
        <v>-0.127672466150522</v>
      </c>
      <c r="D121">
        <v>-0.26930105036974999</v>
      </c>
      <c r="E121">
        <v>-6.7395879982302301E-2</v>
      </c>
      <c r="F121" s="2">
        <f t="shared" si="1"/>
        <v>-3.394284211248956E-2</v>
      </c>
    </row>
    <row r="122" spans="1:6" x14ac:dyDescent="0.4">
      <c r="A122" s="1">
        <v>42735</v>
      </c>
      <c r="B122">
        <v>-5.6243237023242E-2</v>
      </c>
      <c r="C122">
        <v>-0.15197733678424399</v>
      </c>
      <c r="D122">
        <v>-0.22456492994799199</v>
      </c>
      <c r="E122">
        <v>-4.9018544933853297E-2</v>
      </c>
      <c r="F122" s="2">
        <f t="shared" si="1"/>
        <v>-2.91116981500537E-2</v>
      </c>
    </row>
    <row r="123" spans="1:6" x14ac:dyDescent="0.4">
      <c r="A123" s="1">
        <v>42766</v>
      </c>
      <c r="B123">
        <v>-8.7962146175438405E-2</v>
      </c>
      <c r="C123">
        <v>-0.12541154069311999</v>
      </c>
      <c r="D123">
        <v>-0.19734616821511</v>
      </c>
      <c r="E123">
        <v>-4.5380206582591703E-2</v>
      </c>
      <c r="F123" s="2">
        <f t="shared" si="1"/>
        <v>-3.6991672075572572E-2</v>
      </c>
    </row>
    <row r="124" spans="1:6" x14ac:dyDescent="0.4">
      <c r="A124" s="1">
        <v>42794</v>
      </c>
      <c r="B124">
        <v>-8.7365093140238007E-2</v>
      </c>
      <c r="C124">
        <v>-0.11289881706848399</v>
      </c>
      <c r="D124">
        <v>-0.13354251703956699</v>
      </c>
      <c r="E124">
        <v>-4.7645616812769402E-2</v>
      </c>
      <c r="F124" s="2">
        <f t="shared" si="1"/>
        <v>-7.7190158779639473E-2</v>
      </c>
    </row>
    <row r="125" spans="1:6" x14ac:dyDescent="0.4">
      <c r="A125" s="1">
        <v>42825</v>
      </c>
      <c r="B125">
        <v>-2.29094112053944E-2</v>
      </c>
      <c r="C125">
        <v>-0.18417241087397901</v>
      </c>
      <c r="D125">
        <v>-0.10150784136310401</v>
      </c>
      <c r="E125">
        <v>-3.0688084278919399E-2</v>
      </c>
      <c r="F125" s="2">
        <f t="shared" si="1"/>
        <v>-6.6078883507023609E-2</v>
      </c>
    </row>
    <row r="126" spans="1:6" x14ac:dyDescent="0.4">
      <c r="A126" s="1">
        <v>42855</v>
      </c>
      <c r="B126">
        <v>9.93406169780707E-3</v>
      </c>
      <c r="C126">
        <v>-0.166872528838269</v>
      </c>
      <c r="D126">
        <v>-0.164607579117624</v>
      </c>
      <c r="E126">
        <v>-9.6717065361722494E-3</v>
      </c>
      <c r="F126" s="2">
        <f t="shared" si="1"/>
        <v>-3.3446814215941777E-2</v>
      </c>
    </row>
    <row r="127" spans="1:6" x14ac:dyDescent="0.4">
      <c r="A127" s="1">
        <v>42886</v>
      </c>
      <c r="B127">
        <v>0.13409964859840301</v>
      </c>
      <c r="C127">
        <v>-3.5733490225139899E-2</v>
      </c>
      <c r="D127">
        <v>5.8584086342188197E-3</v>
      </c>
      <c r="E127">
        <v>2.4789258561614201E-2</v>
      </c>
      <c r="F127" s="2">
        <f t="shared" si="1"/>
        <v>4.0374766363605229E-2</v>
      </c>
    </row>
    <row r="128" spans="1:6" x14ac:dyDescent="0.4">
      <c r="A128" s="1">
        <v>42916</v>
      </c>
      <c r="B128">
        <v>4.6578280920007903E-2</v>
      </c>
      <c r="C128">
        <v>-3.7040100132346203E-2</v>
      </c>
      <c r="D128">
        <v>1.36573295239742E-2</v>
      </c>
      <c r="E128">
        <v>7.2480347886241803E-3</v>
      </c>
      <c r="F128" s="2">
        <f t="shared" si="1"/>
        <v>6.3537330405406003E-2</v>
      </c>
    </row>
    <row r="129" spans="1:6" x14ac:dyDescent="0.4">
      <c r="A129" s="1">
        <v>42947</v>
      </c>
      <c r="B129">
        <v>-3.7407545950342201E-2</v>
      </c>
      <c r="C129">
        <v>4.9699280777698897E-3</v>
      </c>
      <c r="D129">
        <v>7.8023693011969805E-2</v>
      </c>
      <c r="E129">
        <v>2.32460374812811E-3</v>
      </c>
      <c r="F129" s="2">
        <f t="shared" si="1"/>
        <v>4.775679452268957E-2</v>
      </c>
    </row>
    <row r="130" spans="1:6" x14ac:dyDescent="0.4">
      <c r="A130" s="1">
        <v>42978</v>
      </c>
      <c r="B130">
        <v>9.1658922141166898E-3</v>
      </c>
      <c r="C130">
        <v>1.2681924153244499E-2</v>
      </c>
      <c r="D130">
        <v>1.4767167823789401E-2</v>
      </c>
      <c r="E130">
        <v>-3.0563182196936999E-2</v>
      </c>
      <c r="F130" s="2">
        <f t="shared" si="1"/>
        <v>6.112209061260798E-3</v>
      </c>
    </row>
    <row r="131" spans="1:6" x14ac:dyDescent="0.4">
      <c r="A131" s="1">
        <v>43008</v>
      </c>
      <c r="B131">
        <v>-7.0590304966857004E-2</v>
      </c>
      <c r="C131">
        <v>-6.3015748502681301E-3</v>
      </c>
      <c r="D131">
        <v>-6.4703619685612598E-2</v>
      </c>
      <c r="E131">
        <v>-5.9353204862432798E-2</v>
      </c>
      <c r="F131" s="2">
        <f t="shared" si="1"/>
        <v>-3.2943986234360838E-2</v>
      </c>
    </row>
    <row r="132" spans="1:6" x14ac:dyDescent="0.4">
      <c r="A132" s="1">
        <v>43039</v>
      </c>
      <c r="B132">
        <v>-0.12753673466534601</v>
      </c>
      <c r="C132">
        <v>-8.9776242257950403E-2</v>
      </c>
      <c r="D132">
        <v>5.48732541203767E-3</v>
      </c>
      <c r="E132">
        <v>-6.7865873006862296E-2</v>
      </c>
      <c r="F132" s="2">
        <f t="shared" si="1"/>
        <v>-6.2987049139362108E-2</v>
      </c>
    </row>
    <row r="133" spans="1:6" x14ac:dyDescent="0.4">
      <c r="A133" s="1">
        <v>43069</v>
      </c>
      <c r="B133">
        <v>0.13162198642450501</v>
      </c>
      <c r="C133">
        <v>-5.0420563088086699E-2</v>
      </c>
      <c r="D133">
        <v>8.9410587940946008E-3</v>
      </c>
      <c r="E133">
        <v>-8.2968209007446503E-2</v>
      </c>
      <c r="F133" s="2">
        <f t="shared" si="1"/>
        <v>-2.2168351069232668E-2</v>
      </c>
    </row>
    <row r="134" spans="1:6" x14ac:dyDescent="0.4">
      <c r="A134" s="1">
        <v>43100</v>
      </c>
      <c r="B134">
        <v>-1.5379968485004899E-3</v>
      </c>
      <c r="C134">
        <v>1.0632671951297201E-2</v>
      </c>
      <c r="D134">
        <v>-5.5132373533167602E-3</v>
      </c>
      <c r="E134">
        <v>-7.9965601000775294E-2</v>
      </c>
      <c r="F134" s="2">
        <f t="shared" si="1"/>
        <v>8.4908497021950245E-4</v>
      </c>
    </row>
    <row r="135" spans="1:6" x14ac:dyDescent="0.4">
      <c r="A135" s="1">
        <v>43131</v>
      </c>
      <c r="B135">
        <v>-6.6176417995363501E-2</v>
      </c>
      <c r="C135">
        <v>2.3147600341584799E-2</v>
      </c>
      <c r="D135">
        <v>7.11370725571914E-2</v>
      </c>
      <c r="E135">
        <v>-8.5854021174228606E-2</v>
      </c>
      <c r="F135" s="2">
        <f t="shared" si="1"/>
        <v>2.1302523860213678E-2</v>
      </c>
    </row>
    <row r="136" spans="1:6" x14ac:dyDescent="0.4">
      <c r="A136" s="1">
        <v>43159</v>
      </c>
      <c r="B136">
        <v>-0.116903264987747</v>
      </c>
      <c r="C136">
        <v>-9.7420653594118403E-2</v>
      </c>
      <c r="D136">
        <v>-6.5264852687908395E-2</v>
      </c>
      <c r="E136">
        <v>-8.2091365839385005E-2</v>
      </c>
      <c r="F136" s="2">
        <f t="shared" si="1"/>
        <v>-6.1539226610536991E-2</v>
      </c>
    </row>
    <row r="137" spans="1:6" x14ac:dyDescent="0.4">
      <c r="A137" s="1">
        <v>43190</v>
      </c>
      <c r="B137">
        <v>-0.10096431544842201</v>
      </c>
      <c r="C137">
        <v>-0.13016253736641101</v>
      </c>
      <c r="D137">
        <v>-8.1340331842869901E-2</v>
      </c>
      <c r="E137">
        <v>-8.8517272948767198E-2</v>
      </c>
      <c r="F137" s="2">
        <f t="shared" si="1"/>
        <v>-9.4681332810510832E-2</v>
      </c>
    </row>
    <row r="138" spans="1:6" x14ac:dyDescent="0.4">
      <c r="A138" s="1">
        <v>43220</v>
      </c>
      <c r="B138">
        <v>-3.1785659366785103E-2</v>
      </c>
      <c r="C138">
        <v>-0.158625149446913</v>
      </c>
      <c r="D138">
        <v>-7.0938344424882394E-2</v>
      </c>
      <c r="E138">
        <v>1.38963839430306E-2</v>
      </c>
      <c r="F138" s="2">
        <f t="shared" si="1"/>
        <v>-8.3217746600984702E-2</v>
      </c>
    </row>
    <row r="139" spans="1:6" x14ac:dyDescent="0.4">
      <c r="A139" s="1">
        <v>43251</v>
      </c>
      <c r="B139">
        <v>-4.0558489796108403E-3</v>
      </c>
      <c r="C139">
        <v>-0.17837086209546901</v>
      </c>
      <c r="D139">
        <v>-3.5152354692311399E-2</v>
      </c>
      <c r="E139">
        <v>2.1040863866718801E-2</v>
      </c>
      <c r="F139" s="2">
        <f t="shared" si="1"/>
        <v>-4.560194126493932E-2</v>
      </c>
    </row>
    <row r="140" spans="1:6" x14ac:dyDescent="0.4">
      <c r="A140" s="1">
        <v>43281</v>
      </c>
      <c r="B140">
        <v>0.14643862272952901</v>
      </c>
      <c r="C140">
        <v>-0.116719794872588</v>
      </c>
      <c r="D140">
        <v>0.14042241263308999</v>
      </c>
      <c r="E140">
        <v>-6.25300779841397E-3</v>
      </c>
      <c r="F140" s="2">
        <f t="shared" si="1"/>
        <v>3.6865704794377695E-2</v>
      </c>
    </row>
    <row r="141" spans="1:6" x14ac:dyDescent="0.4">
      <c r="A141" s="1">
        <v>43312</v>
      </c>
      <c r="B141">
        <v>2.2337837522321598E-2</v>
      </c>
      <c r="C141">
        <v>-0.120963940437201</v>
      </c>
      <c r="D141">
        <v>-2.5118599159520399E-2</v>
      </c>
      <c r="E141">
        <v>1.7545663987006101E-2</v>
      </c>
      <c r="F141" s="2">
        <f t="shared" si="1"/>
        <v>5.4906870424079927E-2</v>
      </c>
    </row>
    <row r="142" spans="1:6" x14ac:dyDescent="0.4">
      <c r="A142" s="1">
        <v>43343</v>
      </c>
      <c r="B142">
        <v>-5.5131221048752503E-2</v>
      </c>
      <c r="C142">
        <v>-0.14985302979885701</v>
      </c>
      <c r="D142">
        <v>-0.133713365605481</v>
      </c>
      <c r="E142">
        <v>3.5478217259147703E-2</v>
      </c>
      <c r="F142" s="2">
        <f t="shared" si="1"/>
        <v>3.7881746401032701E-2</v>
      </c>
    </row>
    <row r="143" spans="1:6" x14ac:dyDescent="0.4">
      <c r="A143" s="1">
        <v>43373</v>
      </c>
      <c r="B143">
        <v>-5.8437906103576603E-2</v>
      </c>
      <c r="C143">
        <v>-5.9638767832831702E-2</v>
      </c>
      <c r="D143">
        <v>-0.12716475558309701</v>
      </c>
      <c r="E143">
        <v>7.0877227788864003E-2</v>
      </c>
      <c r="F143" s="2">
        <f t="shared" si="1"/>
        <v>-3.0410429876669171E-2</v>
      </c>
    </row>
    <row r="144" spans="1:6" x14ac:dyDescent="0.4">
      <c r="A144" s="1">
        <v>43404</v>
      </c>
      <c r="B144">
        <v>-3.6984266861469203E-2</v>
      </c>
      <c r="C144">
        <v>-8.9454804797321E-2</v>
      </c>
      <c r="D144">
        <v>-0.17888390061778101</v>
      </c>
      <c r="E144">
        <v>-3.5730828078419499E-2</v>
      </c>
      <c r="F144" s="2">
        <f t="shared" si="1"/>
        <v>-5.0184464671266103E-2</v>
      </c>
    </row>
    <row r="145" spans="1:6" x14ac:dyDescent="0.4">
      <c r="A145" s="1">
        <v>43434</v>
      </c>
      <c r="B145">
        <v>-6.8897034311410796E-2</v>
      </c>
      <c r="C145">
        <v>-9.5809217153724799E-2</v>
      </c>
      <c r="D145">
        <v>-0.165710950455216</v>
      </c>
      <c r="E145">
        <v>-1.3208611864960799E-2</v>
      </c>
      <c r="F145" s="2">
        <f t="shared" si="1"/>
        <v>-5.4773069092152203E-2</v>
      </c>
    </row>
    <row r="146" spans="1:6" x14ac:dyDescent="0.4">
      <c r="A146" s="1">
        <v>43465</v>
      </c>
      <c r="B146">
        <v>6.2564342457455596E-2</v>
      </c>
      <c r="C146">
        <v>-7.83333578580475E-2</v>
      </c>
      <c r="D146">
        <v>-0.20126480800909199</v>
      </c>
      <c r="E146">
        <v>1.2597825138500199E-2</v>
      </c>
      <c r="F146" s="2">
        <f t="shared" si="1"/>
        <v>-1.4438986238474802E-2</v>
      </c>
    </row>
    <row r="147" spans="1:6" x14ac:dyDescent="0.4">
      <c r="A147" s="1">
        <v>43496</v>
      </c>
      <c r="B147">
        <v>2.2098474566737601E-2</v>
      </c>
      <c r="C147">
        <v>6.3325033298515304E-3</v>
      </c>
      <c r="D147">
        <v>-0.30920360764460703</v>
      </c>
      <c r="E147">
        <v>-1.3436147701697499E-2</v>
      </c>
      <c r="F147" s="2">
        <f t="shared" si="1"/>
        <v>5.2552609042608002E-3</v>
      </c>
    </row>
    <row r="148" spans="1:6" x14ac:dyDescent="0.4">
      <c r="A148" s="1">
        <v>43524</v>
      </c>
      <c r="B148">
        <v>0.18988227770518301</v>
      </c>
      <c r="C148">
        <v>-2.5766658069728599E-2</v>
      </c>
      <c r="D148">
        <v>-0.34032564696897999</v>
      </c>
      <c r="E148">
        <v>-4.7849634620504497E-2</v>
      </c>
      <c r="F148" s="2">
        <f t="shared" si="1"/>
        <v>9.1515031576458739E-2</v>
      </c>
    </row>
    <row r="149" spans="1:6" x14ac:dyDescent="0.4">
      <c r="A149" s="1">
        <v>43555</v>
      </c>
      <c r="B149">
        <v>9.8631625509339696E-2</v>
      </c>
      <c r="C149">
        <v>-1.4485821149705201E-2</v>
      </c>
      <c r="D149">
        <v>-0.25137147788816799</v>
      </c>
      <c r="E149">
        <v>-2.4252374918783601E-2</v>
      </c>
      <c r="F149" s="2">
        <f t="shared" si="1"/>
        <v>0.10353745926042011</v>
      </c>
    </row>
    <row r="150" spans="1:6" x14ac:dyDescent="0.4">
      <c r="A150" s="1">
        <v>43585</v>
      </c>
      <c r="B150">
        <v>-0.10822157454338199</v>
      </c>
      <c r="C150">
        <v>-6.6434563777451799E-2</v>
      </c>
      <c r="D150">
        <v>-0.19001944174990101</v>
      </c>
      <c r="E150">
        <v>-9.2549774407575003E-2</v>
      </c>
      <c r="F150" s="2">
        <f t="shared" si="1"/>
        <v>6.0097442890380236E-2</v>
      </c>
    </row>
    <row r="151" spans="1:6" x14ac:dyDescent="0.4">
      <c r="A151" s="1">
        <v>43616</v>
      </c>
      <c r="B151">
        <v>-8.7389232368298403E-2</v>
      </c>
      <c r="C151">
        <v>-6.9905953293540796E-2</v>
      </c>
      <c r="D151">
        <v>-0.14952635245356199</v>
      </c>
      <c r="E151">
        <v>4.7970050277935099E-2</v>
      </c>
      <c r="F151" s="2">
        <f t="shared" si="1"/>
        <v>-3.2326393800780236E-2</v>
      </c>
    </row>
    <row r="152" spans="1:6" x14ac:dyDescent="0.4">
      <c r="A152" s="1">
        <v>43646</v>
      </c>
      <c r="B152">
        <v>-4.8354987850467102E-2</v>
      </c>
      <c r="C152">
        <v>-0.122832435034487</v>
      </c>
      <c r="D152">
        <v>-0.267141336695775</v>
      </c>
      <c r="E152">
        <v>-9.6404129812107706E-2</v>
      </c>
      <c r="F152" s="2">
        <f t="shared" si="1"/>
        <v>-8.1321931587382504E-2</v>
      </c>
    </row>
    <row r="153" spans="1:6" x14ac:dyDescent="0.4">
      <c r="A153" s="1">
        <v>43677</v>
      </c>
      <c r="B153">
        <v>-5.6969575564974E-2</v>
      </c>
      <c r="C153">
        <v>-6.7557631696517198E-2</v>
      </c>
      <c r="D153">
        <v>-0.24637807920037</v>
      </c>
      <c r="E153">
        <v>-8.33259745015964E-2</v>
      </c>
      <c r="F153" s="2">
        <f t="shared" si="1"/>
        <v>-6.4237931927913175E-2</v>
      </c>
    </row>
    <row r="154" spans="1:6" x14ac:dyDescent="0.4">
      <c r="A154" s="1">
        <v>43708</v>
      </c>
      <c r="B154">
        <v>6.71535104022499E-2</v>
      </c>
      <c r="C154">
        <v>-4.9398957259387997E-2</v>
      </c>
      <c r="D154">
        <v>-0.28355903280608902</v>
      </c>
      <c r="E154">
        <v>-8.9826882214660106E-2</v>
      </c>
      <c r="F154" s="2">
        <f t="shared" si="1"/>
        <v>-1.2723684337730403E-2</v>
      </c>
    </row>
    <row r="155" spans="1:6" x14ac:dyDescent="0.4">
      <c r="A155" s="1">
        <v>43738</v>
      </c>
      <c r="B155">
        <v>-4.05595639508292E-2</v>
      </c>
      <c r="C155">
        <v>-0.12576518172376899</v>
      </c>
      <c r="D155">
        <v>-0.352844645784476</v>
      </c>
      <c r="E155">
        <v>-9.8809099620022295E-2</v>
      </c>
      <c r="F155" s="2">
        <f t="shared" si="1"/>
        <v>-1.0125209704517767E-2</v>
      </c>
    </row>
    <row r="156" spans="1:6" x14ac:dyDescent="0.4">
      <c r="A156" s="1">
        <v>43769</v>
      </c>
      <c r="B156">
        <v>-4.5574240562295497E-2</v>
      </c>
      <c r="C156">
        <v>-0.107766860047322</v>
      </c>
      <c r="D156">
        <v>-0.286678733028013</v>
      </c>
      <c r="E156">
        <v>-0.166101417467097</v>
      </c>
      <c r="F156" s="2">
        <f t="shared" si="1"/>
        <v>-6.3267647036249321E-3</v>
      </c>
    </row>
    <row r="157" spans="1:6" x14ac:dyDescent="0.4">
      <c r="A157" s="1">
        <v>43799</v>
      </c>
      <c r="B157">
        <v>3.6460990332458899E-2</v>
      </c>
      <c r="C157">
        <v>-0.116884020015583</v>
      </c>
      <c r="D157">
        <v>-0.23327074188260299</v>
      </c>
      <c r="E157">
        <v>-0.12242780665661999</v>
      </c>
      <c r="F157" s="2">
        <f t="shared" si="1"/>
        <v>-1.6557604726888598E-2</v>
      </c>
    </row>
    <row r="158" spans="1:6" x14ac:dyDescent="0.4">
      <c r="A158" s="1">
        <v>43830</v>
      </c>
      <c r="B158">
        <v>-1.43254533799661E-2</v>
      </c>
      <c r="C158">
        <v>-0.205314088991225</v>
      </c>
      <c r="D158">
        <v>-0.12088629912452301</v>
      </c>
      <c r="E158">
        <v>-0.138840355633403</v>
      </c>
      <c r="F158" s="2">
        <f t="shared" ref="F158:F230" si="2">AVERAGE(B156:B158)</f>
        <v>-7.8129012032675665E-3</v>
      </c>
    </row>
    <row r="159" spans="1:6" x14ac:dyDescent="0.4">
      <c r="A159" s="1">
        <v>43861</v>
      </c>
      <c r="B159">
        <v>-6.5504901486576603E-2</v>
      </c>
      <c r="C159">
        <v>-0.218765655846269</v>
      </c>
      <c r="D159">
        <v>-0.106364527353315</v>
      </c>
      <c r="E159">
        <v>-0.110970707958505</v>
      </c>
      <c r="F159" s="2">
        <f t="shared" si="2"/>
        <v>-1.4456454844694601E-2</v>
      </c>
    </row>
    <row r="160" spans="1:6" x14ac:dyDescent="0.4">
      <c r="A160" s="1">
        <v>43890</v>
      </c>
      <c r="B160">
        <v>1.40683930807784E-2</v>
      </c>
      <c r="C160">
        <v>-0.19618824623765399</v>
      </c>
      <c r="D160">
        <v>-0.22788009457126199</v>
      </c>
      <c r="E160">
        <v>-0.181865970880594</v>
      </c>
      <c r="F160" s="2">
        <f t="shared" si="2"/>
        <v>-2.1920653928588104E-2</v>
      </c>
    </row>
    <row r="161" spans="1:6" x14ac:dyDescent="0.4">
      <c r="A161" s="1">
        <v>43921</v>
      </c>
      <c r="B161">
        <v>-1.7908394379007202E-2</v>
      </c>
      <c r="C161">
        <v>-0.16479148153335399</v>
      </c>
      <c r="D161">
        <v>-9.1131691808809201E-2</v>
      </c>
      <c r="E161">
        <v>-0.17216995063835699</v>
      </c>
      <c r="F161" s="2">
        <f t="shared" si="2"/>
        <v>-2.3114967594935133E-2</v>
      </c>
    </row>
    <row r="162" spans="1:6" x14ac:dyDescent="0.4">
      <c r="A162" s="1">
        <v>43951</v>
      </c>
      <c r="B162">
        <v>-4.25122877140931E-2</v>
      </c>
      <c r="C162">
        <v>-0.155079119001865</v>
      </c>
      <c r="D162">
        <v>-0.188023713058385</v>
      </c>
      <c r="E162">
        <v>-0.10985046011654299</v>
      </c>
      <c r="F162" s="2">
        <f t="shared" si="2"/>
        <v>-1.5450763004107299E-2</v>
      </c>
    </row>
    <row r="163" spans="1:6" x14ac:dyDescent="0.4">
      <c r="A163" s="1">
        <v>43982</v>
      </c>
      <c r="B163">
        <v>3.7336409669858503E-2</v>
      </c>
      <c r="C163">
        <v>-0.21021746329990401</v>
      </c>
      <c r="D163">
        <v>-0.124870060322458</v>
      </c>
      <c r="E163">
        <v>-0.140151565593127</v>
      </c>
      <c r="F163" s="2">
        <f t="shared" si="2"/>
        <v>-7.6947574744139326E-3</v>
      </c>
    </row>
    <row r="164" spans="1:6" x14ac:dyDescent="0.4">
      <c r="A164" s="1">
        <v>44012</v>
      </c>
      <c r="B164">
        <v>-4.0574609488354001E-2</v>
      </c>
      <c r="C164">
        <v>-0.25258864789889202</v>
      </c>
      <c r="D164">
        <v>-0.32182863514975002</v>
      </c>
      <c r="E164">
        <v>-0.20109604728861399</v>
      </c>
      <c r="F164" s="2">
        <f t="shared" si="2"/>
        <v>-1.5250162510862865E-2</v>
      </c>
    </row>
    <row r="165" spans="1:6" x14ac:dyDescent="0.4">
      <c r="A165" s="1">
        <v>44043</v>
      </c>
      <c r="B165">
        <v>8.88109549265481E-2</v>
      </c>
      <c r="C165">
        <v>-0.18880082552892799</v>
      </c>
      <c r="D165">
        <v>-0.34832024875385798</v>
      </c>
      <c r="E165">
        <v>-0.144455044487523</v>
      </c>
      <c r="F165" s="2">
        <f t="shared" si="2"/>
        <v>2.8524251702684199E-2</v>
      </c>
    </row>
    <row r="166" spans="1:6" x14ac:dyDescent="0.4">
      <c r="A166" s="1">
        <v>44074</v>
      </c>
      <c r="B166">
        <v>-3.3324288387130301E-2</v>
      </c>
      <c r="C166">
        <v>-0.17266280451982099</v>
      </c>
      <c r="D166">
        <v>-0.39767058749040901</v>
      </c>
      <c r="E166">
        <v>-0.120544351973393</v>
      </c>
      <c r="F166" s="2">
        <f t="shared" si="2"/>
        <v>4.9706856836879325E-3</v>
      </c>
    </row>
    <row r="167" spans="1:6" x14ac:dyDescent="0.4">
      <c r="A167" s="1">
        <v>44104</v>
      </c>
      <c r="B167">
        <v>-0.14076717411647099</v>
      </c>
      <c r="C167">
        <v>-0.17999879090861701</v>
      </c>
      <c r="D167">
        <v>-0.447547167882965</v>
      </c>
      <c r="E167">
        <v>-0.16834761222073</v>
      </c>
      <c r="F167" s="2">
        <f t="shared" si="2"/>
        <v>-2.8426835859017729E-2</v>
      </c>
    </row>
    <row r="168" spans="1:6" x14ac:dyDescent="0.4">
      <c r="A168" s="1">
        <v>44135</v>
      </c>
      <c r="B168">
        <v>-0.12282020529365199</v>
      </c>
      <c r="C168">
        <v>-0.16842495911473701</v>
      </c>
      <c r="D168">
        <v>-0.43289026083501703</v>
      </c>
      <c r="E168">
        <v>-0.14857711738125101</v>
      </c>
      <c r="F168" s="2">
        <f t="shared" si="2"/>
        <v>-9.897055593241777E-2</v>
      </c>
    </row>
    <row r="169" spans="1:6" x14ac:dyDescent="0.4">
      <c r="A169" s="1">
        <v>44165</v>
      </c>
      <c r="B169">
        <v>-4.7311828161317702E-2</v>
      </c>
      <c r="C169">
        <v>-0.19777293976958499</v>
      </c>
      <c r="D169">
        <v>-0.40748318656989402</v>
      </c>
      <c r="E169">
        <v>-0.109177964622531</v>
      </c>
      <c r="F169" s="2">
        <f t="shared" si="2"/>
        <v>-0.10363306919048022</v>
      </c>
    </row>
    <row r="170" spans="1:6" x14ac:dyDescent="0.4">
      <c r="A170" s="1">
        <v>44196</v>
      </c>
      <c r="B170">
        <v>-4.6576738260133699E-2</v>
      </c>
      <c r="C170">
        <v>-0.25744577362264898</v>
      </c>
      <c r="D170">
        <v>-0.50182771082337096</v>
      </c>
      <c r="E170">
        <v>-0.12173224829806401</v>
      </c>
      <c r="F170" s="2">
        <f t="shared" si="2"/>
        <v>-7.2236257238367796E-2</v>
      </c>
    </row>
    <row r="171" spans="1:6" x14ac:dyDescent="0.4">
      <c r="A171" s="1">
        <v>44227</v>
      </c>
      <c r="B171">
        <v>-0.11997916474084699</v>
      </c>
      <c r="C171">
        <v>-0.358582936936091</v>
      </c>
      <c r="D171">
        <v>-0.72037814377668397</v>
      </c>
      <c r="E171">
        <v>-0.13479744842533101</v>
      </c>
      <c r="F171" s="2">
        <f t="shared" si="2"/>
        <v>-7.1289243720766129E-2</v>
      </c>
    </row>
    <row r="172" spans="1:6" x14ac:dyDescent="0.4">
      <c r="A172" s="1">
        <v>44255</v>
      </c>
      <c r="B172">
        <v>-7.1187292371939201E-2</v>
      </c>
      <c r="C172">
        <v>-0.365542048276912</v>
      </c>
      <c r="D172">
        <v>-0.76684048530798599</v>
      </c>
      <c r="E172">
        <v>-0.10602732859635</v>
      </c>
      <c r="F172" s="2">
        <f t="shared" si="2"/>
        <v>-7.9247731790973289E-2</v>
      </c>
    </row>
    <row r="173" spans="1:6" x14ac:dyDescent="0.4">
      <c r="A173" s="1">
        <v>44286</v>
      </c>
      <c r="B173">
        <v>-4.5323116786158503E-2</v>
      </c>
      <c r="C173">
        <v>-0.43998465442442303</v>
      </c>
      <c r="D173">
        <v>-0.76432882002499802</v>
      </c>
      <c r="E173">
        <v>-0.118726799761343</v>
      </c>
      <c r="F173" s="2">
        <f t="shared" si="2"/>
        <v>-7.8829857966314892E-2</v>
      </c>
    </row>
    <row r="174" spans="1:6" x14ac:dyDescent="0.4">
      <c r="A174" s="1">
        <v>44316</v>
      </c>
      <c r="B174">
        <v>2.4313465878355402E-2</v>
      </c>
      <c r="C174">
        <v>-0.43061664387694498</v>
      </c>
      <c r="D174">
        <v>-0.878042493568303</v>
      </c>
      <c r="E174">
        <v>-0.16118182416131299</v>
      </c>
      <c r="F174" s="2">
        <f t="shared" si="2"/>
        <v>-3.0732314426580771E-2</v>
      </c>
    </row>
    <row r="175" spans="1:6" x14ac:dyDescent="0.4">
      <c r="A175" s="1">
        <v>44347</v>
      </c>
      <c r="B175">
        <v>0.132892812526476</v>
      </c>
      <c r="C175">
        <v>-0.32796383231933401</v>
      </c>
      <c r="D175">
        <v>-0.90600420686573402</v>
      </c>
      <c r="E175">
        <v>-0.13868368772909601</v>
      </c>
      <c r="F175" s="2">
        <f t="shared" si="2"/>
        <v>3.72943872062243E-2</v>
      </c>
    </row>
    <row r="176" spans="1:6" x14ac:dyDescent="0.4">
      <c r="A176" s="1">
        <v>44377</v>
      </c>
      <c r="B176">
        <v>-9.6410317564560297E-2</v>
      </c>
      <c r="C176">
        <v>-0.32050017444290702</v>
      </c>
      <c r="D176">
        <v>-0.89870573051798197</v>
      </c>
      <c r="E176">
        <v>-0.141296052126718</v>
      </c>
      <c r="F176" s="2">
        <f t="shared" si="2"/>
        <v>2.0265320280090367E-2</v>
      </c>
    </row>
    <row r="177" spans="1:6" x14ac:dyDescent="0.4">
      <c r="A177" s="1">
        <v>44408</v>
      </c>
      <c r="B177">
        <v>-0.121355612654356</v>
      </c>
      <c r="C177">
        <v>-0.26085790831952099</v>
      </c>
      <c r="D177">
        <v>-0.85928637765776905</v>
      </c>
      <c r="E177">
        <v>-0.109129063668094</v>
      </c>
      <c r="F177" s="2">
        <f t="shared" si="2"/>
        <v>-2.8291039230813431E-2</v>
      </c>
    </row>
    <row r="178" spans="1:6" x14ac:dyDescent="0.4">
      <c r="A178" s="1">
        <v>44439</v>
      </c>
      <c r="B178">
        <v>0.15897317090982299</v>
      </c>
      <c r="C178">
        <v>-0.295484149798104</v>
      </c>
      <c r="D178">
        <v>-0.820338402808786</v>
      </c>
      <c r="E178">
        <v>-6.6642321253182493E-2</v>
      </c>
      <c r="F178" s="2">
        <f t="shared" si="2"/>
        <v>-1.9597586436364434E-2</v>
      </c>
    </row>
    <row r="179" spans="1:6" x14ac:dyDescent="0.4">
      <c r="A179" s="1">
        <v>44469</v>
      </c>
      <c r="B179">
        <v>0.21086170469354601</v>
      </c>
      <c r="C179">
        <v>-0.173069481310377</v>
      </c>
      <c r="D179">
        <v>-0.63979424055215695</v>
      </c>
      <c r="E179">
        <v>-1.30517367331208E-2</v>
      </c>
      <c r="F179" s="2">
        <f t="shared" si="2"/>
        <v>8.2826420983004342E-2</v>
      </c>
    </row>
    <row r="180" spans="1:6" x14ac:dyDescent="0.4">
      <c r="A180" s="1">
        <v>44500</v>
      </c>
      <c r="B180">
        <v>5.4286911956675198E-3</v>
      </c>
      <c r="C180">
        <v>-0.1213675053117</v>
      </c>
      <c r="D180">
        <v>-0.59176591828746306</v>
      </c>
      <c r="E180">
        <v>-2.7937190479257398E-3</v>
      </c>
      <c r="F180" s="2">
        <f t="shared" si="2"/>
        <v>0.12508785559967886</v>
      </c>
    </row>
    <row r="181" spans="1:6" x14ac:dyDescent="0.4">
      <c r="A181" s="1">
        <v>44530</v>
      </c>
      <c r="B181">
        <v>-2.3345469761792002E-2</v>
      </c>
      <c r="C181">
        <v>-3.73065082356984E-2</v>
      </c>
      <c r="D181">
        <v>-0.544276742094563</v>
      </c>
      <c r="E181">
        <v>-4.8164418848795701E-2</v>
      </c>
      <c r="F181" s="2">
        <f t="shared" si="2"/>
        <v>6.4314975375807173E-2</v>
      </c>
    </row>
    <row r="182" spans="1:6" x14ac:dyDescent="0.4">
      <c r="A182" s="1">
        <v>44561</v>
      </c>
      <c r="B182">
        <v>-5.5493139313274598E-2</v>
      </c>
      <c r="C182">
        <v>-0.162573977007402</v>
      </c>
      <c r="D182">
        <v>-0.54502621466673395</v>
      </c>
      <c r="E182">
        <v>-2.72214121987123E-2</v>
      </c>
      <c r="F182" s="2">
        <f t="shared" si="2"/>
        <v>-2.4469972626466358E-2</v>
      </c>
    </row>
    <row r="183" spans="1:6" x14ac:dyDescent="0.4">
      <c r="A183" s="1">
        <v>44592</v>
      </c>
      <c r="B183">
        <v>0.136761370233663</v>
      </c>
      <c r="C183">
        <v>-0.131786799903617</v>
      </c>
      <c r="D183">
        <v>-0.46501919063762498</v>
      </c>
      <c r="E183">
        <v>-4.95046441349778E-2</v>
      </c>
      <c r="F183" s="2">
        <f t="shared" si="2"/>
        <v>1.9307587052865467E-2</v>
      </c>
    </row>
    <row r="184" spans="1:6" x14ac:dyDescent="0.4">
      <c r="A184" s="1">
        <v>44620</v>
      </c>
      <c r="B184">
        <v>7.5272476931508899E-3</v>
      </c>
      <c r="C184">
        <v>-0.136989420988958</v>
      </c>
      <c r="D184">
        <v>-0.35069580068596601</v>
      </c>
      <c r="E184">
        <v>-2.39712841327769E-2</v>
      </c>
      <c r="F184" s="2">
        <f t="shared" si="2"/>
        <v>2.9598492871179761E-2</v>
      </c>
    </row>
    <row r="185" spans="1:6" x14ac:dyDescent="0.4">
      <c r="A185" s="1">
        <v>44651</v>
      </c>
      <c r="B185">
        <v>-0.14771109674070201</v>
      </c>
      <c r="C185">
        <v>-0.212085754927653</v>
      </c>
      <c r="D185">
        <v>-0.27449923954128103</v>
      </c>
      <c r="E185">
        <v>-2.5736606969227499E-2</v>
      </c>
      <c r="F185" s="2">
        <f t="shared" si="2"/>
        <v>-1.1408262712960433E-3</v>
      </c>
    </row>
    <row r="186" spans="1:6" x14ac:dyDescent="0.4">
      <c r="A186" s="1">
        <v>44681</v>
      </c>
      <c r="B186">
        <v>2.59642414971701E-3</v>
      </c>
      <c r="C186">
        <v>-0.27960948136631603</v>
      </c>
      <c r="D186">
        <v>-0.22182060832380199</v>
      </c>
      <c r="E186">
        <v>-0.104664748647609</v>
      </c>
      <c r="F186" s="2">
        <f t="shared" si="2"/>
        <v>-4.5862474965944706E-2</v>
      </c>
    </row>
    <row r="187" spans="1:6" x14ac:dyDescent="0.4">
      <c r="A187" s="1">
        <v>44712</v>
      </c>
      <c r="B187">
        <v>6.1846435745405597E-2</v>
      </c>
      <c r="C187">
        <v>-0.18788788897905201</v>
      </c>
      <c r="D187">
        <v>-0.16952056754964001</v>
      </c>
      <c r="E187">
        <v>-8.8349712438828498E-2</v>
      </c>
      <c r="F187" s="2">
        <f t="shared" si="2"/>
        <v>-2.7756078948526469E-2</v>
      </c>
    </row>
    <row r="188" spans="1:6" x14ac:dyDescent="0.4">
      <c r="A188" s="1">
        <v>44742</v>
      </c>
      <c r="B188">
        <v>1.80455489927136E-2</v>
      </c>
      <c r="C188">
        <v>-0.25194701145223197</v>
      </c>
      <c r="D188">
        <v>-0.44502331596519401</v>
      </c>
      <c r="E188">
        <v>-0.162733341280838</v>
      </c>
      <c r="F188" s="2">
        <f t="shared" si="2"/>
        <v>2.7496136295945401E-2</v>
      </c>
    </row>
    <row r="189" spans="1:6" x14ac:dyDescent="0.4">
      <c r="A189" s="1">
        <v>44773</v>
      </c>
      <c r="B189">
        <v>2.1927094892229E-2</v>
      </c>
      <c r="C189">
        <v>-0.19491961583367101</v>
      </c>
      <c r="D189">
        <v>-0.50586222007001302</v>
      </c>
      <c r="E189">
        <v>-0.25244134485233</v>
      </c>
      <c r="F189" s="2">
        <f t="shared" si="2"/>
        <v>3.3939693210116063E-2</v>
      </c>
    </row>
    <row r="190" spans="1:6" x14ac:dyDescent="0.4">
      <c r="A190" s="1">
        <v>44804</v>
      </c>
      <c r="B190">
        <v>-5.8879417833051798E-2</v>
      </c>
      <c r="C190">
        <v>-0.16588030788956401</v>
      </c>
      <c r="D190">
        <v>-0.37656179704156101</v>
      </c>
      <c r="E190">
        <v>-0.20515050228786</v>
      </c>
      <c r="F190" s="2">
        <f t="shared" si="2"/>
        <v>-6.302257982703066E-3</v>
      </c>
    </row>
    <row r="191" spans="1:6" x14ac:dyDescent="0.4">
      <c r="A191" s="1">
        <v>44834</v>
      </c>
      <c r="B191">
        <v>-0.15147058898497401</v>
      </c>
      <c r="C191">
        <v>-0.18430365080291999</v>
      </c>
      <c r="D191">
        <v>-0.23743546012369601</v>
      </c>
      <c r="E191">
        <v>-0.20128756212488799</v>
      </c>
      <c r="F191" s="2">
        <f t="shared" si="2"/>
        <v>-6.2807637308598938E-2</v>
      </c>
    </row>
    <row r="192" spans="1:6" x14ac:dyDescent="0.4">
      <c r="A192" s="1">
        <v>44865</v>
      </c>
      <c r="B192">
        <v>-0.13180216399298</v>
      </c>
      <c r="C192">
        <v>-0.118569890367749</v>
      </c>
      <c r="D192">
        <v>-3.5705994242327101E-2</v>
      </c>
      <c r="E192">
        <v>-0.12979233717893501</v>
      </c>
      <c r="F192" s="2">
        <f t="shared" si="2"/>
        <v>-0.11405072360366859</v>
      </c>
    </row>
    <row r="193" spans="1:6" x14ac:dyDescent="0.4">
      <c r="A193" s="1">
        <v>44895</v>
      </c>
      <c r="B193">
        <v>9.2326875860646598E-2</v>
      </c>
      <c r="C193">
        <v>-0.20576664671268399</v>
      </c>
      <c r="D193">
        <v>-0.27421010304558202</v>
      </c>
      <c r="E193">
        <v>-0.16329631283225499</v>
      </c>
      <c r="F193" s="2">
        <f t="shared" si="2"/>
        <v>-6.3648625705769138E-2</v>
      </c>
    </row>
    <row r="194" spans="1:6" x14ac:dyDescent="0.4">
      <c r="A194" s="1">
        <v>44926</v>
      </c>
      <c r="B194">
        <v>0.153038210584482</v>
      </c>
      <c r="C194">
        <v>-0.14953230758942301</v>
      </c>
      <c r="D194">
        <v>-0.17837951117359899</v>
      </c>
      <c r="E194">
        <v>-0.202560024230521</v>
      </c>
      <c r="F194" s="2">
        <f t="shared" si="2"/>
        <v>3.7854307484049533E-2</v>
      </c>
    </row>
    <row r="195" spans="1:6" x14ac:dyDescent="0.4">
      <c r="A195" s="1">
        <v>44957</v>
      </c>
      <c r="B195">
        <v>-6.0942036968635503E-2</v>
      </c>
      <c r="C195">
        <v>-0.161638880303932</v>
      </c>
      <c r="D195">
        <v>-0.39826566532387198</v>
      </c>
      <c r="E195">
        <v>-0.24370940177189701</v>
      </c>
      <c r="F195" s="2">
        <f t="shared" si="2"/>
        <v>6.1474349825497702E-2</v>
      </c>
    </row>
    <row r="196" spans="1:6" x14ac:dyDescent="0.4">
      <c r="A196" s="1">
        <v>44985</v>
      </c>
      <c r="B196">
        <v>9.1668698387410194E-2</v>
      </c>
      <c r="C196">
        <v>-0.11005728616096901</v>
      </c>
      <c r="D196">
        <v>-0.383175383847627</v>
      </c>
      <c r="E196">
        <v>-0.24922977968215601</v>
      </c>
      <c r="F196" s="2">
        <f t="shared" si="2"/>
        <v>6.1254957334418901E-2</v>
      </c>
    </row>
    <row r="197" spans="1:6" x14ac:dyDescent="0.4">
      <c r="A197" s="1">
        <v>45016</v>
      </c>
      <c r="B197">
        <v>-6.8259375014846496E-2</v>
      </c>
      <c r="C197">
        <v>-0.113060087613994</v>
      </c>
      <c r="D197">
        <v>-9.8432889289237505E-2</v>
      </c>
      <c r="E197">
        <v>-0.17562801714869899</v>
      </c>
      <c r="F197" s="2">
        <f t="shared" si="2"/>
        <v>-1.2510904532023935E-2</v>
      </c>
    </row>
    <row r="198" spans="1:6" x14ac:dyDescent="0.4">
      <c r="A198" s="1">
        <v>45046</v>
      </c>
      <c r="B198">
        <v>-2.5675268738519899E-2</v>
      </c>
      <c r="C198">
        <v>-0.105278206809871</v>
      </c>
      <c r="D198">
        <v>-0.111617415002641</v>
      </c>
      <c r="E198">
        <v>-0.13474127296327501</v>
      </c>
      <c r="F198" s="2">
        <f t="shared" si="2"/>
        <v>-7.5531512198540041E-4</v>
      </c>
    </row>
    <row r="199" spans="1:6" x14ac:dyDescent="0.4">
      <c r="A199" s="1">
        <v>45077</v>
      </c>
      <c r="B199">
        <v>-7.2195090914598498E-2</v>
      </c>
      <c r="C199">
        <v>-0.15205752859355401</v>
      </c>
      <c r="D199">
        <v>-0.12237265132213899</v>
      </c>
      <c r="E199">
        <v>-0.14574103217784301</v>
      </c>
      <c r="F199" s="2">
        <f t="shared" si="2"/>
        <v>-5.537657822265496E-2</v>
      </c>
    </row>
    <row r="200" spans="1:6" x14ac:dyDescent="0.4">
      <c r="A200" s="1">
        <v>45107</v>
      </c>
      <c r="B200">
        <v>-0.24189519884715499</v>
      </c>
      <c r="C200">
        <v>-0.13818635273086399</v>
      </c>
      <c r="D200">
        <v>-0.110345299262638</v>
      </c>
      <c r="E200">
        <v>-0.10365646962875601</v>
      </c>
      <c r="F200" s="2">
        <f t="shared" si="2"/>
        <v>-0.1132551861667578</v>
      </c>
    </row>
    <row r="201" spans="1:6" x14ac:dyDescent="0.4">
      <c r="A201" s="1">
        <v>45138</v>
      </c>
      <c r="B201">
        <v>-0.17673493078585301</v>
      </c>
      <c r="C201">
        <v>-0.192392356442143</v>
      </c>
      <c r="D201">
        <v>-0.17557958219339001</v>
      </c>
      <c r="E201">
        <v>-0.126509116060324</v>
      </c>
      <c r="F201" s="2">
        <f t="shared" si="2"/>
        <v>-0.16360840684920216</v>
      </c>
    </row>
    <row r="202" spans="1:6" x14ac:dyDescent="0.4">
      <c r="A202" s="1">
        <v>45169</v>
      </c>
      <c r="B202">
        <v>0.128946249059183</v>
      </c>
      <c r="C202">
        <v>-0.211292227403829</v>
      </c>
      <c r="D202">
        <v>-0.26939888937117201</v>
      </c>
      <c r="E202">
        <v>-0.101079389114293</v>
      </c>
      <c r="F202" s="2">
        <f t="shared" si="2"/>
        <v>-9.6561293524608335E-2</v>
      </c>
    </row>
    <row r="203" spans="1:6" x14ac:dyDescent="0.4">
      <c r="A203" s="1">
        <v>45199</v>
      </c>
      <c r="B203">
        <v>0.118145584330184</v>
      </c>
      <c r="C203">
        <v>-0.15215863188061499</v>
      </c>
      <c r="D203">
        <v>-0.29678930935370901</v>
      </c>
      <c r="E203">
        <v>-8.9352717502479195E-2</v>
      </c>
      <c r="F203" s="2">
        <f t="shared" si="2"/>
        <v>2.3452300867838002E-2</v>
      </c>
    </row>
    <row r="204" spans="1:6" x14ac:dyDescent="0.4">
      <c r="A204" s="1">
        <v>45230</v>
      </c>
      <c r="B204">
        <v>1.0815924261126401E-3</v>
      </c>
      <c r="C204">
        <v>-0.11878530092854001</v>
      </c>
      <c r="D204">
        <v>-0.21925943820555099</v>
      </c>
      <c r="E204">
        <v>-2.926979092395E-2</v>
      </c>
      <c r="F204" s="2">
        <f t="shared" si="2"/>
        <v>8.2724475271826553E-2</v>
      </c>
    </row>
    <row r="205" spans="1:6" x14ac:dyDescent="0.4">
      <c r="A205" s="1">
        <v>45260</v>
      </c>
      <c r="B205">
        <v>4.34351737324521E-2</v>
      </c>
      <c r="C205">
        <v>-0.121342234164007</v>
      </c>
      <c r="D205">
        <v>-0.40687993262774402</v>
      </c>
      <c r="E205">
        <v>-0.103197283398431</v>
      </c>
      <c r="F205" s="2">
        <f t="shared" si="2"/>
        <v>5.4220783496249585E-2</v>
      </c>
    </row>
    <row r="206" spans="1:6" x14ac:dyDescent="0.4">
      <c r="A206" s="1">
        <v>45291</v>
      </c>
      <c r="B206">
        <v>-1.06074751191329E-2</v>
      </c>
      <c r="C206">
        <v>-0.10683213967432199</v>
      </c>
      <c r="D206">
        <v>-0.28794991973285</v>
      </c>
      <c r="E206">
        <v>-2.6346233690065599E-2</v>
      </c>
      <c r="F206" s="2">
        <f t="shared" si="2"/>
        <v>1.1303097013143948E-2</v>
      </c>
    </row>
    <row r="207" spans="1:6" x14ac:dyDescent="0.4">
      <c r="A207" s="1">
        <v>45322</v>
      </c>
      <c r="B207">
        <v>1.0681091057527301E-2</v>
      </c>
      <c r="C207">
        <v>-0.14200103265136399</v>
      </c>
      <c r="D207">
        <v>-9.4363527259999302E-2</v>
      </c>
      <c r="E207">
        <v>-7.9231878012682999E-3</v>
      </c>
      <c r="F207" s="2">
        <f t="shared" si="2"/>
        <v>1.4502929890282167E-2</v>
      </c>
    </row>
    <row r="208" spans="1:6" x14ac:dyDescent="0.4">
      <c r="A208" s="1">
        <v>45351</v>
      </c>
      <c r="B208">
        <v>0.15105916104388001</v>
      </c>
      <c r="C208">
        <v>-0.239328648932329</v>
      </c>
      <c r="D208">
        <v>-0.208902118264576</v>
      </c>
      <c r="E208">
        <v>3.3212733396879801E-2</v>
      </c>
      <c r="F208" s="2">
        <f t="shared" si="2"/>
        <v>5.0377592327424801E-2</v>
      </c>
    </row>
    <row r="209" spans="1:6" x14ac:dyDescent="0.4">
      <c r="A209" s="1">
        <v>45382</v>
      </c>
      <c r="B209">
        <v>-9.7095661890721306E-3</v>
      </c>
      <c r="C209">
        <v>-0.20113872768867899</v>
      </c>
      <c r="D209">
        <v>-0.25974143713369902</v>
      </c>
      <c r="E209">
        <v>-1.73623120742708E-3</v>
      </c>
      <c r="F209" s="2">
        <f t="shared" si="2"/>
        <v>5.0676895304111728E-2</v>
      </c>
    </row>
    <row r="210" spans="1:6" x14ac:dyDescent="0.4">
      <c r="A210" s="1">
        <v>45412</v>
      </c>
      <c r="B210">
        <v>4.3849985874047197E-2</v>
      </c>
      <c r="C210">
        <v>-0.21793372096117999</v>
      </c>
      <c r="D210">
        <v>-0.25622174305055201</v>
      </c>
      <c r="E210">
        <v>-8.5974258506113198E-3</v>
      </c>
      <c r="F210" s="2">
        <f t="shared" si="2"/>
        <v>6.1733193576285032E-2</v>
      </c>
    </row>
    <row r="211" spans="1:6" x14ac:dyDescent="0.4">
      <c r="A211" s="1">
        <v>45443</v>
      </c>
      <c r="B211">
        <v>0.120210703529141</v>
      </c>
      <c r="C211">
        <v>-0.19420930303030901</v>
      </c>
      <c r="D211">
        <v>-0.12550954351511701</v>
      </c>
      <c r="E211">
        <v>-5.1916063262746302E-2</v>
      </c>
      <c r="F211" s="2">
        <f t="shared" si="2"/>
        <v>5.1450374404705353E-2</v>
      </c>
    </row>
    <row r="212" spans="1:6" x14ac:dyDescent="0.4">
      <c r="A212" s="1">
        <v>45473</v>
      </c>
      <c r="B212">
        <v>-3.8520224392208202E-2</v>
      </c>
      <c r="C212">
        <v>-0.122916633766991</v>
      </c>
      <c r="D212">
        <v>-6.3690424051665903E-2</v>
      </c>
      <c r="E212">
        <v>-6.9806940949190099E-2</v>
      </c>
      <c r="F212" s="2">
        <f t="shared" si="2"/>
        <v>4.1846821670326662E-2</v>
      </c>
    </row>
    <row r="213" spans="1:6" x14ac:dyDescent="0.4">
      <c r="A213" s="1">
        <v>45504</v>
      </c>
      <c r="B213">
        <v>0.16178694709803201</v>
      </c>
      <c r="C213">
        <v>2.73654710747064E-2</v>
      </c>
      <c r="D213">
        <v>-0.109820185848895</v>
      </c>
      <c r="E213">
        <v>-0.175796956843742</v>
      </c>
      <c r="F213" s="2">
        <f t="shared" si="2"/>
        <v>8.1159142078321603E-2</v>
      </c>
    </row>
    <row r="214" spans="1:6" x14ac:dyDescent="0.4">
      <c r="A214" s="1">
        <v>45535</v>
      </c>
      <c r="B214">
        <v>0.224221279916097</v>
      </c>
      <c r="C214">
        <v>4.4545347155959501E-3</v>
      </c>
      <c r="D214">
        <v>-3.8027475857826898E-2</v>
      </c>
      <c r="E214">
        <v>-3.86377856602068E-2</v>
      </c>
      <c r="F214" s="2">
        <f t="shared" si="2"/>
        <v>0.11582933420730694</v>
      </c>
    </row>
    <row r="215" spans="1:6" x14ac:dyDescent="0.4">
      <c r="A215" s="1">
        <v>45565</v>
      </c>
      <c r="B215">
        <v>0.217526840482687</v>
      </c>
      <c r="C215">
        <v>-2.5781112093887799E-2</v>
      </c>
      <c r="D215">
        <v>-0.195873927601524</v>
      </c>
      <c r="E215">
        <v>2.7221977183533301E-2</v>
      </c>
      <c r="F215" s="2">
        <f t="shared" si="2"/>
        <v>0.20117835583227203</v>
      </c>
    </row>
    <row r="216" spans="1:6" x14ac:dyDescent="0.4">
      <c r="A216" s="1">
        <v>45596</v>
      </c>
      <c r="B216">
        <v>0.13693182391359601</v>
      </c>
      <c r="C216">
        <v>9.6909700902710394E-2</v>
      </c>
      <c r="D216">
        <v>-0.22396475070967001</v>
      </c>
      <c r="E216">
        <v>-0.17836039827427999</v>
      </c>
      <c r="F216" s="2">
        <f t="shared" si="2"/>
        <v>0.19289331477079333</v>
      </c>
    </row>
    <row r="217" spans="1:6" x14ac:dyDescent="0.4">
      <c r="A217" s="1">
        <v>45626</v>
      </c>
      <c r="B217">
        <v>0.15502426250683801</v>
      </c>
      <c r="C217">
        <v>0</v>
      </c>
      <c r="D217">
        <v>-0.42737270226642998</v>
      </c>
      <c r="E217">
        <v>-0.25999003345326599</v>
      </c>
      <c r="F217" s="2">
        <f t="shared" si="2"/>
        <v>0.16982764230104033</v>
      </c>
    </row>
    <row r="218" spans="1:6" x14ac:dyDescent="0.4">
      <c r="A218" s="1">
        <v>45657</v>
      </c>
      <c r="B218">
        <v>8.7218620713759507E-2</v>
      </c>
      <c r="C218">
        <v>-9.7795151187238007E-3</v>
      </c>
      <c r="D218">
        <v>0.507467470179642</v>
      </c>
      <c r="E218">
        <v>-8.1212315380261593E-2</v>
      </c>
      <c r="F218" s="2">
        <f t="shared" si="2"/>
        <v>0.12639156904473117</v>
      </c>
    </row>
    <row r="219" spans="1:6" x14ac:dyDescent="0.4">
      <c r="A219" s="1">
        <v>45688</v>
      </c>
      <c r="B219">
        <v>0.15921269289345699</v>
      </c>
      <c r="C219">
        <v>-4.9374462930060897E-2</v>
      </c>
      <c r="D219">
        <v>-0.39159524438418603</v>
      </c>
      <c r="E219">
        <v>-0.107182174626282</v>
      </c>
      <c r="F219" s="2">
        <f t="shared" si="2"/>
        <v>0.1338185253713515</v>
      </c>
    </row>
    <row r="220" spans="1:6" x14ac:dyDescent="0.4">
      <c r="A220" s="1">
        <v>45716</v>
      </c>
      <c r="B220">
        <v>0.114619253965783</v>
      </c>
      <c r="C220">
        <v>-4.9273265303473097E-2</v>
      </c>
      <c r="D220">
        <v>-0.53717548900733303</v>
      </c>
      <c r="E220">
        <v>-0.167607568150999</v>
      </c>
      <c r="F220" s="2">
        <f t="shared" si="2"/>
        <v>0.12035018919099982</v>
      </c>
    </row>
    <row r="221" spans="1:6" x14ac:dyDescent="0.4">
      <c r="A221" s="1">
        <v>45747</v>
      </c>
      <c r="B221">
        <v>0.20787566946275901</v>
      </c>
      <c r="C221">
        <v>3.96760621729862E-2</v>
      </c>
      <c r="D221">
        <v>-0.50273879766152596</v>
      </c>
      <c r="E221">
        <v>-0.19750137126557901</v>
      </c>
      <c r="F221" s="2">
        <f t="shared" si="2"/>
        <v>0.16056920544066633</v>
      </c>
    </row>
    <row r="222" spans="1:6" x14ac:dyDescent="0.4">
      <c r="A222" s="1">
        <v>45777</v>
      </c>
      <c r="B222">
        <v>0.24642866745746</v>
      </c>
      <c r="C222">
        <v>5.3186933728207299E-2</v>
      </c>
      <c r="D222">
        <v>-0.23987490271058201</v>
      </c>
      <c r="E222">
        <v>-0.14179762180467201</v>
      </c>
      <c r="F222" s="2">
        <f t="shared" si="2"/>
        <v>0.18964119696200066</v>
      </c>
    </row>
    <row r="223" spans="1:6" x14ac:dyDescent="0.4">
      <c r="A223" s="1">
        <v>45808</v>
      </c>
      <c r="B223">
        <v>0.104858394705724</v>
      </c>
      <c r="C223">
        <v>7.3727413262472993E-2</v>
      </c>
      <c r="D223">
        <v>-0.214112369316205</v>
      </c>
      <c r="E223">
        <v>-0.177127238827293</v>
      </c>
      <c r="F223" s="2">
        <f t="shared" si="2"/>
        <v>0.18638757720864765</v>
      </c>
    </row>
    <row r="224" spans="1:6" x14ac:dyDescent="0.4">
      <c r="A224" s="1">
        <v>45838</v>
      </c>
      <c r="B224">
        <v>3.7880883767503197E-2</v>
      </c>
      <c r="C224">
        <v>1.0066080571898199E-3</v>
      </c>
      <c r="D224">
        <v>-0.38294009046638999</v>
      </c>
      <c r="E224">
        <v>-0.177323508142642</v>
      </c>
      <c r="F224" s="2">
        <f t="shared" si="2"/>
        <v>0.12972264864356239</v>
      </c>
    </row>
    <row r="225" spans="1:6" x14ac:dyDescent="0.4">
      <c r="A225" s="1">
        <v>45869</v>
      </c>
      <c r="B225">
        <v>9.7172590395089006E-2</v>
      </c>
      <c r="C225">
        <v>1.71844202251865E-2</v>
      </c>
      <c r="D225">
        <v>-0.32282378473650503</v>
      </c>
      <c r="E225">
        <v>-0.11424095097705</v>
      </c>
      <c r="F225" s="2">
        <f t="shared" si="2"/>
        <v>7.9970622956105408E-2</v>
      </c>
    </row>
    <row r="226" spans="1:6" x14ac:dyDescent="0.4">
      <c r="A226" s="1">
        <v>45900</v>
      </c>
      <c r="B226">
        <v>0.142752678562972</v>
      </c>
      <c r="C226">
        <v>1.14670167588742E-2</v>
      </c>
      <c r="D226">
        <v>-0.587521595467556</v>
      </c>
      <c r="E226">
        <v>-0.40850061808091298</v>
      </c>
      <c r="F226" s="2">
        <f t="shared" si="2"/>
        <v>9.2602050908521402E-2</v>
      </c>
    </row>
    <row r="227" spans="1:6" x14ac:dyDescent="0.4">
      <c r="A227" s="1">
        <v>45930</v>
      </c>
      <c r="B227">
        <v>0.13787251846323301</v>
      </c>
      <c r="C227">
        <v>-8.9148810690180807E-3</v>
      </c>
      <c r="D227">
        <v>-0.55661074572232305</v>
      </c>
      <c r="E227">
        <v>-0.36371536193488202</v>
      </c>
      <c r="F227" s="2">
        <f t="shared" si="2"/>
        <v>0.12593259580709801</v>
      </c>
    </row>
    <row r="228" spans="1:6" x14ac:dyDescent="0.4">
      <c r="A228" s="1">
        <v>45961</v>
      </c>
      <c r="B228">
        <v>0.168696834483822</v>
      </c>
      <c r="C228">
        <v>2.31168751557836E-2</v>
      </c>
      <c r="D228">
        <v>-1.0010996569998001</v>
      </c>
      <c r="E228">
        <v>-0.38134583331480199</v>
      </c>
      <c r="F228" s="2">
        <f t="shared" si="2"/>
        <v>0.14977401050334235</v>
      </c>
    </row>
    <row r="229" spans="1:6" x14ac:dyDescent="0.4">
      <c r="A229" s="1">
        <v>45991</v>
      </c>
      <c r="B229">
        <v>0.43006234434378399</v>
      </c>
      <c r="C229">
        <v>3.6293449973864703E-2</v>
      </c>
      <c r="D229">
        <v>-0.95656387189265202</v>
      </c>
      <c r="E229">
        <v>-0.42920106831131299</v>
      </c>
      <c r="F229" s="2">
        <f t="shared" si="2"/>
        <v>0.24554389909694632</v>
      </c>
    </row>
    <row r="230" spans="1:6" x14ac:dyDescent="0.4">
      <c r="A230" s="1">
        <v>46022</v>
      </c>
      <c r="B230">
        <v>-4.6859024491034698E-2</v>
      </c>
      <c r="C230">
        <v>1.0489624344599199E-2</v>
      </c>
      <c r="D230">
        <v>0.16063220726393199</v>
      </c>
      <c r="E230">
        <v>9.8590272671257806E-2</v>
      </c>
      <c r="F230" s="2">
        <f t="shared" si="2"/>
        <v>0.18396671811219042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19"/>
  <sheetViews>
    <sheetView workbookViewId="0">
      <pane xSplit="1" ySplit="1" topLeftCell="L60" activePane="bottomRight" state="frozen"/>
      <selection pane="topRight" activeCell="B1" sqref="B1"/>
      <selection pane="bottomLeft" activeCell="A2" sqref="A2"/>
      <selection pane="bottomRight" activeCell="P216" sqref="P216"/>
    </sheetView>
  </sheetViews>
  <sheetFormatPr defaultRowHeight="13.9" x14ac:dyDescent="0.4"/>
  <cols>
    <col min="1" max="1" width="10.46484375" bestFit="1" customWidth="1"/>
  </cols>
  <sheetData>
    <row r="1" spans="1:15" x14ac:dyDescent="0.4"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10</v>
      </c>
    </row>
    <row r="2" spans="1:15" x14ac:dyDescent="0.4">
      <c r="A2" s="1">
        <v>39416</v>
      </c>
      <c r="B2" s="38">
        <v>1</v>
      </c>
      <c r="C2" s="38">
        <v>1</v>
      </c>
      <c r="D2" s="38">
        <v>1</v>
      </c>
      <c r="E2" s="38">
        <v>1</v>
      </c>
      <c r="F2" s="38">
        <v>1</v>
      </c>
      <c r="G2" s="38">
        <v>1</v>
      </c>
      <c r="H2" s="38">
        <v>1</v>
      </c>
    </row>
    <row r="3" spans="1:15" x14ac:dyDescent="0.4">
      <c r="A3" s="1">
        <v>39447</v>
      </c>
      <c r="B3" s="38">
        <v>1</v>
      </c>
      <c r="C3" s="38">
        <v>1</v>
      </c>
      <c r="D3" s="38">
        <v>1</v>
      </c>
      <c r="E3" s="38">
        <v>1</v>
      </c>
      <c r="F3" s="38">
        <v>1</v>
      </c>
      <c r="G3" s="38">
        <v>1</v>
      </c>
      <c r="H3" s="38">
        <v>1.18061757712036</v>
      </c>
    </row>
    <row r="4" spans="1:15" x14ac:dyDescent="0.4">
      <c r="A4" s="1">
        <v>39478</v>
      </c>
      <c r="B4" s="38">
        <v>1</v>
      </c>
      <c r="C4" s="38">
        <v>1</v>
      </c>
      <c r="D4" s="38">
        <v>1</v>
      </c>
      <c r="E4" s="38">
        <v>1</v>
      </c>
      <c r="F4" s="38">
        <v>1</v>
      </c>
      <c r="G4" s="38">
        <v>1</v>
      </c>
      <c r="H4" s="38">
        <v>1.08597270899973</v>
      </c>
    </row>
    <row r="5" spans="1:15" x14ac:dyDescent="0.4">
      <c r="A5" s="1">
        <v>39507</v>
      </c>
      <c r="B5" s="38">
        <v>1</v>
      </c>
      <c r="C5" s="38">
        <v>1</v>
      </c>
      <c r="D5" s="38">
        <v>1</v>
      </c>
      <c r="E5" s="38">
        <v>1</v>
      </c>
      <c r="F5" s="38">
        <v>1</v>
      </c>
      <c r="G5" s="38">
        <v>1</v>
      </c>
      <c r="H5" s="38">
        <v>1.14643005334423</v>
      </c>
    </row>
    <row r="6" spans="1:15" x14ac:dyDescent="0.4">
      <c r="A6" s="1">
        <v>39538</v>
      </c>
      <c r="B6" s="38">
        <v>1</v>
      </c>
      <c r="C6" s="38">
        <v>1</v>
      </c>
      <c r="D6" s="38">
        <v>0.768084488440961</v>
      </c>
      <c r="E6" s="38">
        <v>1</v>
      </c>
      <c r="F6" s="38">
        <v>1</v>
      </c>
      <c r="G6" s="38">
        <v>1</v>
      </c>
      <c r="H6" s="38">
        <v>0.91174923758490101</v>
      </c>
    </row>
    <row r="7" spans="1:15" x14ac:dyDescent="0.4">
      <c r="A7" s="1">
        <v>39568</v>
      </c>
      <c r="B7" s="38">
        <v>1</v>
      </c>
      <c r="C7" s="38">
        <v>1</v>
      </c>
      <c r="D7" s="38">
        <v>0.80183881414325497</v>
      </c>
      <c r="E7" s="38">
        <v>1</v>
      </c>
      <c r="F7" s="38">
        <v>1</v>
      </c>
      <c r="G7" s="38">
        <v>1</v>
      </c>
      <c r="H7" s="38">
        <v>0.90979565610436097</v>
      </c>
    </row>
    <row r="8" spans="1:15" x14ac:dyDescent="0.4">
      <c r="A8" s="1">
        <v>39599</v>
      </c>
      <c r="B8" s="38">
        <v>1</v>
      </c>
      <c r="C8" s="38">
        <v>1</v>
      </c>
      <c r="D8" s="38">
        <v>0.730632098950456</v>
      </c>
      <c r="E8" s="38">
        <v>1</v>
      </c>
      <c r="F8" s="38">
        <v>1</v>
      </c>
      <c r="G8" s="38">
        <v>1</v>
      </c>
      <c r="H8" s="38">
        <v>0.85901109320044899</v>
      </c>
    </row>
    <row r="9" spans="1:15" x14ac:dyDescent="0.4">
      <c r="A9" s="1">
        <v>39629</v>
      </c>
      <c r="B9" s="38">
        <v>1</v>
      </c>
      <c r="C9" s="38">
        <v>1</v>
      </c>
      <c r="D9" s="38">
        <v>0.57174483816356503</v>
      </c>
      <c r="E9" s="38">
        <v>1</v>
      </c>
      <c r="F9" s="38">
        <v>1</v>
      </c>
      <c r="G9" s="38">
        <v>1</v>
      </c>
      <c r="H9" s="38">
        <v>0.66426205859617504</v>
      </c>
    </row>
    <row r="10" spans="1:15" x14ac:dyDescent="0.4">
      <c r="A10" s="1">
        <v>39660</v>
      </c>
      <c r="B10" s="38">
        <v>1</v>
      </c>
      <c r="C10" s="38">
        <v>1</v>
      </c>
      <c r="D10" s="38">
        <v>0.623516515689572</v>
      </c>
      <c r="E10" s="38">
        <v>1</v>
      </c>
      <c r="F10" s="38">
        <v>1</v>
      </c>
      <c r="G10" s="38">
        <v>1</v>
      </c>
      <c r="H10" s="38">
        <v>0.70571225996445996</v>
      </c>
    </row>
    <row r="11" spans="1:15" x14ac:dyDescent="0.4">
      <c r="A11" s="1">
        <v>39691</v>
      </c>
      <c r="B11" s="38">
        <v>1</v>
      </c>
      <c r="C11" s="38">
        <v>1</v>
      </c>
      <c r="D11" s="38">
        <v>0.494395313723201</v>
      </c>
      <c r="E11" s="38">
        <v>1</v>
      </c>
      <c r="F11" s="38">
        <v>1</v>
      </c>
      <c r="G11" s="38">
        <v>1</v>
      </c>
      <c r="H11" s="38">
        <v>0.55976521648594901</v>
      </c>
    </row>
    <row r="12" spans="1:15" x14ac:dyDescent="0.4">
      <c r="A12" s="1">
        <v>39721</v>
      </c>
      <c r="B12" s="38">
        <v>1</v>
      </c>
      <c r="C12" s="38">
        <v>1</v>
      </c>
      <c r="D12" s="38">
        <v>0.46909065388348697</v>
      </c>
      <c r="E12" s="38">
        <v>1</v>
      </c>
      <c r="F12" s="38">
        <v>1</v>
      </c>
      <c r="G12" s="38">
        <v>1</v>
      </c>
      <c r="H12" s="38">
        <v>0.52284788636644497</v>
      </c>
    </row>
    <row r="13" spans="1:15" x14ac:dyDescent="0.4">
      <c r="A13" s="1">
        <v>39752</v>
      </c>
      <c r="B13" s="38">
        <v>1</v>
      </c>
      <c r="C13" s="38">
        <v>1</v>
      </c>
      <c r="D13" s="38">
        <v>0.352828174624295</v>
      </c>
      <c r="E13" s="38">
        <v>1</v>
      </c>
      <c r="F13" s="38">
        <v>1</v>
      </c>
      <c r="G13" s="38">
        <v>1</v>
      </c>
      <c r="H13" s="38">
        <v>0.38438970207725598</v>
      </c>
    </row>
    <row r="14" spans="1:15" x14ac:dyDescent="0.4">
      <c r="A14" s="1">
        <v>39782</v>
      </c>
      <c r="B14" s="38">
        <v>1</v>
      </c>
      <c r="C14" s="38">
        <v>1</v>
      </c>
      <c r="D14" s="38">
        <v>0.40229947542191902</v>
      </c>
      <c r="E14" s="38">
        <v>1</v>
      </c>
      <c r="F14" s="38">
        <v>1</v>
      </c>
      <c r="G14" s="38">
        <v>1</v>
      </c>
      <c r="H14" s="38">
        <v>0.445253353381309</v>
      </c>
    </row>
    <row r="15" spans="1:15" x14ac:dyDescent="0.4">
      <c r="A15" s="1">
        <v>39813</v>
      </c>
      <c r="B15" s="38">
        <v>1</v>
      </c>
      <c r="C15" s="38">
        <v>1</v>
      </c>
      <c r="D15" s="38">
        <v>0.433390314831826</v>
      </c>
      <c r="E15" s="38">
        <v>1</v>
      </c>
      <c r="F15" s="38">
        <v>1</v>
      </c>
      <c r="G15" s="38">
        <v>1</v>
      </c>
      <c r="H15" s="38">
        <v>0.46689645739020602</v>
      </c>
    </row>
    <row r="16" spans="1:15" x14ac:dyDescent="0.4">
      <c r="A16" s="1">
        <v>39844</v>
      </c>
      <c r="B16" s="38">
        <v>1</v>
      </c>
      <c r="C16" s="38">
        <v>1</v>
      </c>
      <c r="D16" s="38">
        <v>0.53042766189801505</v>
      </c>
      <c r="E16" s="38">
        <v>1</v>
      </c>
      <c r="F16" s="38">
        <v>1</v>
      </c>
      <c r="G16" s="38">
        <v>1</v>
      </c>
      <c r="H16" s="38">
        <v>0.54082145394249304</v>
      </c>
      <c r="I16" s="2">
        <f>B16/B$16</f>
        <v>1</v>
      </c>
      <c r="J16" s="2">
        <f t="shared" ref="J16:O16" si="0">C16/C$16</f>
        <v>1</v>
      </c>
      <c r="K16" s="2">
        <f t="shared" si="0"/>
        <v>1</v>
      </c>
      <c r="L16" s="2">
        <f t="shared" si="0"/>
        <v>1</v>
      </c>
      <c r="M16" s="2">
        <f t="shared" si="0"/>
        <v>1</v>
      </c>
      <c r="N16" s="2">
        <f t="shared" si="0"/>
        <v>1</v>
      </c>
      <c r="O16" s="2">
        <f t="shared" si="0"/>
        <v>1</v>
      </c>
    </row>
    <row r="17" spans="1:15" x14ac:dyDescent="0.4">
      <c r="A17" s="1">
        <v>39872</v>
      </c>
      <c r="B17" s="38">
        <v>1.09939563389244</v>
      </c>
      <c r="C17" s="38">
        <v>1.07752724125348</v>
      </c>
      <c r="D17" s="38">
        <v>0.51558181893878796</v>
      </c>
      <c r="E17" s="38">
        <v>1.00950570939967</v>
      </c>
      <c r="F17" s="38">
        <v>1.0809030136184601</v>
      </c>
      <c r="G17" s="38">
        <v>1.0793328294104101</v>
      </c>
      <c r="H17" s="38">
        <v>0.57975102085640895</v>
      </c>
      <c r="I17" s="2">
        <f t="shared" ref="I17:I80" si="1">B17/B$16</f>
        <v>1.09939563389244</v>
      </c>
      <c r="J17" s="2">
        <f t="shared" ref="J17:J80" si="2">C17/C$16</f>
        <v>1.07752724125348</v>
      </c>
      <c r="K17" s="2">
        <f t="shared" ref="K17:K80" si="3">D17/D$16</f>
        <v>0.97201155967977881</v>
      </c>
      <c r="L17" s="2">
        <f t="shared" ref="L17:L80" si="4">E17/E$16</f>
        <v>1.00950570939967</v>
      </c>
      <c r="M17" s="2">
        <f t="shared" ref="M17:M80" si="5">F17/F$16</f>
        <v>1.0809030136184601</v>
      </c>
      <c r="N17" s="2">
        <f t="shared" ref="N17:N80" si="6">G17/G$16</f>
        <v>1.0793328294104101</v>
      </c>
      <c r="O17" s="2">
        <f t="shared" ref="O17:O80" si="7">H17/H$16</f>
        <v>1.0719822903291396</v>
      </c>
    </row>
    <row r="18" spans="1:15" x14ac:dyDescent="0.4">
      <c r="A18" s="1">
        <v>39903</v>
      </c>
      <c r="B18" s="38">
        <v>1.32766031840943</v>
      </c>
      <c r="C18" s="38">
        <v>1.26008682989978</v>
      </c>
      <c r="D18" s="38">
        <v>0.62233560859173598</v>
      </c>
      <c r="E18" s="38">
        <v>1.2314590371201699</v>
      </c>
      <c r="F18" s="38">
        <v>1.35534529133739</v>
      </c>
      <c r="G18" s="38">
        <v>1.3539042346141701</v>
      </c>
      <c r="H18" s="38">
        <v>0.69756677154011004</v>
      </c>
      <c r="I18" s="2">
        <f t="shared" si="1"/>
        <v>1.32766031840943</v>
      </c>
      <c r="J18" s="2">
        <f t="shared" si="2"/>
        <v>1.26008682989978</v>
      </c>
      <c r="K18" s="2">
        <f t="shared" si="3"/>
        <v>1.1732714058781346</v>
      </c>
      <c r="L18" s="2">
        <f t="shared" si="4"/>
        <v>1.2314590371201699</v>
      </c>
      <c r="M18" s="2">
        <f t="shared" si="5"/>
        <v>1.35534529133739</v>
      </c>
      <c r="N18" s="2">
        <f t="shared" si="6"/>
        <v>1.3539042346141701</v>
      </c>
      <c r="O18" s="2">
        <f t="shared" si="7"/>
        <v>1.2898282167894253</v>
      </c>
    </row>
    <row r="19" spans="1:15" x14ac:dyDescent="0.4">
      <c r="A19" s="1">
        <v>39933</v>
      </c>
      <c r="B19" s="38">
        <v>1.4826045656623801</v>
      </c>
      <c r="C19" s="38">
        <v>1.36398416472406</v>
      </c>
      <c r="D19" s="38">
        <v>0.66651633257666998</v>
      </c>
      <c r="E19" s="38">
        <v>1.45546537585969</v>
      </c>
      <c r="F19" s="38">
        <v>1.5148090748285099</v>
      </c>
      <c r="G19" s="38">
        <v>1.4576788812811201</v>
      </c>
      <c r="H19" s="38">
        <v>0.745109273811141</v>
      </c>
      <c r="I19" s="2">
        <f t="shared" si="1"/>
        <v>1.4826045656623801</v>
      </c>
      <c r="J19" s="2">
        <f t="shared" si="2"/>
        <v>1.36398416472406</v>
      </c>
      <c r="K19" s="2">
        <f t="shared" si="3"/>
        <v>1.2565640528468907</v>
      </c>
      <c r="L19" s="2">
        <f t="shared" si="4"/>
        <v>1.45546537585969</v>
      </c>
      <c r="M19" s="2">
        <f t="shared" si="5"/>
        <v>1.5148090748285099</v>
      </c>
      <c r="N19" s="2">
        <f t="shared" si="6"/>
        <v>1.4576788812811201</v>
      </c>
      <c r="O19" s="2">
        <f t="shared" si="7"/>
        <v>1.3777361611293817</v>
      </c>
    </row>
    <row r="20" spans="1:15" x14ac:dyDescent="0.4">
      <c r="A20" s="1">
        <v>39964</v>
      </c>
      <c r="B20" s="38">
        <v>1.5227805775771399</v>
      </c>
      <c r="C20" s="38">
        <v>1.47304588618226</v>
      </c>
      <c r="D20" s="38">
        <v>0.67246805158008105</v>
      </c>
      <c r="E20" s="38">
        <v>1.40332378394405</v>
      </c>
      <c r="F20" s="38">
        <v>1.64921140910345</v>
      </c>
      <c r="G20" s="38">
        <v>1.56319518074277</v>
      </c>
      <c r="H20" s="38">
        <v>0.77921275897064002</v>
      </c>
      <c r="I20" s="2">
        <f t="shared" si="1"/>
        <v>1.5227805775771399</v>
      </c>
      <c r="J20" s="2">
        <f t="shared" si="2"/>
        <v>1.47304588618226</v>
      </c>
      <c r="K20" s="2">
        <f t="shared" si="3"/>
        <v>1.267784657334436</v>
      </c>
      <c r="L20" s="2">
        <f t="shared" si="4"/>
        <v>1.40332378394405</v>
      </c>
      <c r="M20" s="2">
        <f t="shared" si="5"/>
        <v>1.64921140910345</v>
      </c>
      <c r="N20" s="2">
        <f t="shared" si="6"/>
        <v>1.56319518074277</v>
      </c>
      <c r="O20" s="2">
        <f t="shared" si="7"/>
        <v>1.44079483772383</v>
      </c>
    </row>
    <row r="21" spans="1:15" x14ac:dyDescent="0.4">
      <c r="A21" s="1">
        <v>39994</v>
      </c>
      <c r="B21" s="38">
        <v>1.5385696654148699</v>
      </c>
      <c r="C21" s="38">
        <v>1.5265618318826899</v>
      </c>
      <c r="D21" s="38">
        <v>0.73333802035914497</v>
      </c>
      <c r="E21" s="38">
        <v>1.41016957469366</v>
      </c>
      <c r="F21" s="38">
        <v>1.7943643809705301</v>
      </c>
      <c r="G21" s="38">
        <v>1.63107308961507</v>
      </c>
      <c r="H21" s="38">
        <v>0.83998456282656297</v>
      </c>
      <c r="I21" s="2">
        <f t="shared" si="1"/>
        <v>1.5385696654148699</v>
      </c>
      <c r="J21" s="2">
        <f t="shared" si="2"/>
        <v>1.5265618318826899</v>
      </c>
      <c r="K21" s="2">
        <f t="shared" si="3"/>
        <v>1.3825410570313419</v>
      </c>
      <c r="L21" s="2">
        <f t="shared" si="4"/>
        <v>1.41016957469366</v>
      </c>
      <c r="M21" s="2">
        <f t="shared" si="5"/>
        <v>1.7943643809705301</v>
      </c>
      <c r="N21" s="2">
        <f t="shared" si="6"/>
        <v>1.63107308961507</v>
      </c>
      <c r="O21" s="2">
        <f t="shared" si="7"/>
        <v>1.5531642776062666</v>
      </c>
    </row>
    <row r="22" spans="1:15" x14ac:dyDescent="0.4">
      <c r="A22" s="1">
        <v>40025</v>
      </c>
      <c r="B22" s="38">
        <v>1.94138567620438</v>
      </c>
      <c r="C22" s="38">
        <v>1.7435041615945299</v>
      </c>
      <c r="D22" s="38">
        <v>0.81266455822535699</v>
      </c>
      <c r="E22" s="38">
        <v>1.69069354690547</v>
      </c>
      <c r="F22" s="38">
        <v>2.1138860685874299</v>
      </c>
      <c r="G22" s="38">
        <v>1.8411154659369</v>
      </c>
      <c r="H22" s="38">
        <v>0.97747135280317199</v>
      </c>
      <c r="I22" s="2">
        <f t="shared" si="1"/>
        <v>1.94138567620438</v>
      </c>
      <c r="J22" s="2">
        <f t="shared" si="2"/>
        <v>1.7435041615945299</v>
      </c>
      <c r="K22" s="2">
        <f t="shared" si="3"/>
        <v>1.5320930950648788</v>
      </c>
      <c r="L22" s="2">
        <f t="shared" si="4"/>
        <v>1.69069354690547</v>
      </c>
      <c r="M22" s="2">
        <f t="shared" si="5"/>
        <v>2.1138860685874299</v>
      </c>
      <c r="N22" s="2">
        <f t="shared" si="6"/>
        <v>1.8411154659369</v>
      </c>
      <c r="O22" s="2">
        <f t="shared" si="7"/>
        <v>1.8073827243308827</v>
      </c>
    </row>
    <row r="23" spans="1:15" x14ac:dyDescent="0.4">
      <c r="A23" s="1">
        <v>40056</v>
      </c>
      <c r="B23" s="38">
        <v>1.5981240778463</v>
      </c>
      <c r="C23" s="38">
        <v>1.5588672448713801</v>
      </c>
      <c r="D23" s="38">
        <v>0.75387646886681603</v>
      </c>
      <c r="E23" s="38">
        <v>1.54325476867994</v>
      </c>
      <c r="F23" s="38">
        <v>1.8520212568274901</v>
      </c>
      <c r="G23" s="38">
        <v>1.6096130485335101</v>
      </c>
      <c r="H23" s="38">
        <v>0.81439844594958599</v>
      </c>
      <c r="I23" s="2">
        <f t="shared" si="1"/>
        <v>1.5981240778463</v>
      </c>
      <c r="J23" s="2">
        <f t="shared" si="2"/>
        <v>1.5588672448713801</v>
      </c>
      <c r="K23" s="2">
        <f t="shared" si="3"/>
        <v>1.4212616027023179</v>
      </c>
      <c r="L23" s="2">
        <f t="shared" si="4"/>
        <v>1.54325476867994</v>
      </c>
      <c r="M23" s="2">
        <f t="shared" si="5"/>
        <v>1.8520212568274901</v>
      </c>
      <c r="N23" s="2">
        <f t="shared" si="6"/>
        <v>1.6096130485335101</v>
      </c>
      <c r="O23" s="2">
        <f t="shared" si="7"/>
        <v>1.5058545477675949</v>
      </c>
    </row>
    <row r="24" spans="1:15" x14ac:dyDescent="0.4">
      <c r="A24" s="1">
        <v>40086</v>
      </c>
      <c r="B24" s="38">
        <v>1.75151407844624</v>
      </c>
      <c r="C24" s="38">
        <v>1.66679463635825</v>
      </c>
      <c r="D24" s="38">
        <v>0.79289100919969502</v>
      </c>
      <c r="E24" s="38">
        <v>1.5805198779534699</v>
      </c>
      <c r="F24" s="38">
        <v>2.0412018099089</v>
      </c>
      <c r="G24" s="38">
        <v>1.6698748231076599</v>
      </c>
      <c r="H24" s="38">
        <v>0.84854980893027598</v>
      </c>
      <c r="I24" s="2">
        <f t="shared" si="1"/>
        <v>1.75151407844624</v>
      </c>
      <c r="J24" s="2">
        <f t="shared" si="2"/>
        <v>1.66679463635825</v>
      </c>
      <c r="K24" s="2">
        <f t="shared" si="3"/>
        <v>1.4948145923659306</v>
      </c>
      <c r="L24" s="2">
        <f t="shared" si="4"/>
        <v>1.5805198779534699</v>
      </c>
      <c r="M24" s="2">
        <f t="shared" si="5"/>
        <v>2.0412018099089</v>
      </c>
      <c r="N24" s="2">
        <f t="shared" si="6"/>
        <v>1.6698748231076599</v>
      </c>
      <c r="O24" s="2">
        <f t="shared" si="7"/>
        <v>1.5690017523241682</v>
      </c>
    </row>
    <row r="25" spans="1:15" x14ac:dyDescent="0.4">
      <c r="A25" s="1">
        <v>40117</v>
      </c>
      <c r="B25" s="38">
        <v>1.97498654965174</v>
      </c>
      <c r="C25" s="38">
        <v>1.8107852134887299</v>
      </c>
      <c r="D25" s="38">
        <v>0.89897190251454695</v>
      </c>
      <c r="E25" s="38">
        <v>1.83246079968943</v>
      </c>
      <c r="F25" s="38">
        <v>2.2326274259743402</v>
      </c>
      <c r="G25" s="38">
        <v>1.84539523478136</v>
      </c>
      <c r="H25" s="38">
        <v>0.94293611383279696</v>
      </c>
      <c r="I25" s="2">
        <f t="shared" si="1"/>
        <v>1.97498654965174</v>
      </c>
      <c r="J25" s="2">
        <f t="shared" si="2"/>
        <v>1.8107852134887299</v>
      </c>
      <c r="K25" s="2">
        <f t="shared" si="3"/>
        <v>1.6948058464707139</v>
      </c>
      <c r="L25" s="2">
        <f t="shared" si="4"/>
        <v>1.83246079968943</v>
      </c>
      <c r="M25" s="2">
        <f t="shared" si="5"/>
        <v>2.2326274259743402</v>
      </c>
      <c r="N25" s="2">
        <f t="shared" si="6"/>
        <v>1.84539523478136</v>
      </c>
      <c r="O25" s="2">
        <f t="shared" si="7"/>
        <v>1.7435257180700932</v>
      </c>
    </row>
    <row r="26" spans="1:15" x14ac:dyDescent="0.4">
      <c r="A26" s="1">
        <v>40147</v>
      </c>
      <c r="B26" s="38">
        <v>2.2807041240458799</v>
      </c>
      <c r="C26" s="38">
        <v>2.0276296809726801</v>
      </c>
      <c r="D26" s="38">
        <v>1.02225420344524</v>
      </c>
      <c r="E26" s="38">
        <v>1.9744662146335199</v>
      </c>
      <c r="F26" s="38">
        <v>2.5629053575166698</v>
      </c>
      <c r="G26" s="38">
        <v>2.1115365617172102</v>
      </c>
      <c r="H26" s="38">
        <v>1.0649908272934201</v>
      </c>
      <c r="I26" s="2">
        <f t="shared" si="1"/>
        <v>2.2807041240458799</v>
      </c>
      <c r="J26" s="2">
        <f t="shared" si="2"/>
        <v>2.0276296809726801</v>
      </c>
      <c r="K26" s="2">
        <f t="shared" si="3"/>
        <v>1.9272264191262862</v>
      </c>
      <c r="L26" s="2">
        <f t="shared" si="4"/>
        <v>1.9744662146335199</v>
      </c>
      <c r="M26" s="2">
        <f t="shared" si="5"/>
        <v>2.5629053575166698</v>
      </c>
      <c r="N26" s="2">
        <f t="shared" si="6"/>
        <v>2.1115365617172102</v>
      </c>
      <c r="O26" s="2">
        <f t="shared" si="7"/>
        <v>1.9692096523350262</v>
      </c>
    </row>
    <row r="27" spans="1:15" x14ac:dyDescent="0.4">
      <c r="A27" s="1">
        <v>40178</v>
      </c>
      <c r="B27" s="38">
        <v>2.3119873986249599</v>
      </c>
      <c r="C27" s="38">
        <v>2.1523353454726899</v>
      </c>
      <c r="D27" s="38">
        <v>1.05842480205473</v>
      </c>
      <c r="E27" s="38">
        <v>2.0700951352868699</v>
      </c>
      <c r="F27" s="38">
        <v>2.62976416207818</v>
      </c>
      <c r="G27" s="38">
        <v>2.1566623042405602</v>
      </c>
      <c r="H27" s="38">
        <v>1.0841526881555701</v>
      </c>
      <c r="I27" s="2">
        <f t="shared" si="1"/>
        <v>2.3119873986249599</v>
      </c>
      <c r="J27" s="2">
        <f t="shared" si="2"/>
        <v>2.1523353454726899</v>
      </c>
      <c r="K27" s="2">
        <f t="shared" si="3"/>
        <v>1.9954178073356825</v>
      </c>
      <c r="L27" s="2">
        <f t="shared" si="4"/>
        <v>2.0700951352868699</v>
      </c>
      <c r="M27" s="2">
        <f t="shared" si="5"/>
        <v>2.62976416207818</v>
      </c>
      <c r="N27" s="2">
        <f t="shared" si="6"/>
        <v>2.1566623042405602</v>
      </c>
      <c r="O27" s="2">
        <f t="shared" si="7"/>
        <v>2.004640681785621</v>
      </c>
    </row>
    <row r="28" spans="1:15" x14ac:dyDescent="0.4">
      <c r="A28" s="1">
        <v>40209</v>
      </c>
      <c r="B28" s="38">
        <v>2.13901741675779</v>
      </c>
      <c r="C28" s="38">
        <v>2.06182523020891</v>
      </c>
      <c r="D28" s="38">
        <v>1.0182184089965101</v>
      </c>
      <c r="E28" s="38">
        <v>1.9537516158355599</v>
      </c>
      <c r="F28" s="38">
        <v>2.38997048746538</v>
      </c>
      <c r="G28" s="38">
        <v>2.03706401771759</v>
      </c>
      <c r="H28" s="38">
        <v>1.0280696468227699</v>
      </c>
      <c r="I28" s="2">
        <f t="shared" si="1"/>
        <v>2.13901741675779</v>
      </c>
      <c r="J28" s="2">
        <f t="shared" si="2"/>
        <v>2.06182523020891</v>
      </c>
      <c r="K28" s="2">
        <f t="shared" si="3"/>
        <v>1.9196178520423435</v>
      </c>
      <c r="L28" s="2">
        <f t="shared" si="4"/>
        <v>1.9537516158355599</v>
      </c>
      <c r="M28" s="2">
        <f t="shared" si="5"/>
        <v>2.38997048746538</v>
      </c>
      <c r="N28" s="2">
        <f t="shared" si="6"/>
        <v>2.03706401771759</v>
      </c>
      <c r="O28" s="2">
        <f t="shared" si="7"/>
        <v>1.900940947013702</v>
      </c>
    </row>
    <row r="29" spans="1:15" x14ac:dyDescent="0.4">
      <c r="A29" s="1">
        <v>40237</v>
      </c>
      <c r="B29" s="38">
        <v>2.3069830988892401</v>
      </c>
      <c r="C29" s="38">
        <v>2.1700627266290899</v>
      </c>
      <c r="D29" s="38">
        <v>1.03428455503331</v>
      </c>
      <c r="E29" s="38">
        <v>1.9962637399966501</v>
      </c>
      <c r="F29" s="38">
        <v>2.5336928909581502</v>
      </c>
      <c r="G29" s="38">
        <v>2.23642479863654</v>
      </c>
      <c r="H29" s="38">
        <v>1.0818753703935799</v>
      </c>
      <c r="I29" s="2">
        <f t="shared" si="1"/>
        <v>2.3069830988892401</v>
      </c>
      <c r="J29" s="2">
        <f t="shared" si="2"/>
        <v>2.1700627266290899</v>
      </c>
      <c r="K29" s="2">
        <f t="shared" si="3"/>
        <v>1.9499068946222702</v>
      </c>
      <c r="L29" s="2">
        <f t="shared" si="4"/>
        <v>1.9962637399966501</v>
      </c>
      <c r="M29" s="2">
        <f t="shared" si="5"/>
        <v>2.5336928909581502</v>
      </c>
      <c r="N29" s="2">
        <f t="shared" si="6"/>
        <v>2.23642479863654</v>
      </c>
      <c r="O29" s="2">
        <f t="shared" si="7"/>
        <v>2.0004298322614593</v>
      </c>
    </row>
    <row r="30" spans="1:15" x14ac:dyDescent="0.4">
      <c r="A30" s="1">
        <v>40268</v>
      </c>
      <c r="B30" s="38">
        <v>2.3190983765682698</v>
      </c>
      <c r="C30" s="38">
        <v>2.1842825669990802</v>
      </c>
      <c r="D30" s="38">
        <v>1.03393833512968</v>
      </c>
      <c r="E30" s="38">
        <v>2.02122636502917</v>
      </c>
      <c r="F30" s="38">
        <v>2.6399802186413401</v>
      </c>
      <c r="G30" s="38">
        <v>2.33043794094228</v>
      </c>
      <c r="H30" s="38">
        <v>1.1090514850272</v>
      </c>
      <c r="I30" s="2">
        <f t="shared" si="1"/>
        <v>2.3190983765682698</v>
      </c>
      <c r="J30" s="2">
        <f t="shared" si="2"/>
        <v>2.1842825669990802</v>
      </c>
      <c r="K30" s="2">
        <f t="shared" si="3"/>
        <v>1.9492541762056041</v>
      </c>
      <c r="L30" s="2">
        <f t="shared" si="4"/>
        <v>2.02122636502917</v>
      </c>
      <c r="M30" s="2">
        <f t="shared" si="5"/>
        <v>2.6399802186413401</v>
      </c>
      <c r="N30" s="2">
        <f t="shared" si="6"/>
        <v>2.33043794094228</v>
      </c>
      <c r="O30" s="2">
        <f t="shared" si="7"/>
        <v>2.0506795300785687</v>
      </c>
    </row>
    <row r="31" spans="1:15" x14ac:dyDescent="0.4">
      <c r="A31" s="1">
        <v>40298</v>
      </c>
      <c r="B31" s="38">
        <v>2.20142844417947</v>
      </c>
      <c r="C31" s="38">
        <v>2.0690139222586099</v>
      </c>
      <c r="D31" s="38">
        <v>0.963526043180433</v>
      </c>
      <c r="E31" s="38">
        <v>1.84136894235096</v>
      </c>
      <c r="F31" s="38">
        <v>2.4808719130349002</v>
      </c>
      <c r="G31" s="38">
        <v>2.05888747931064</v>
      </c>
      <c r="H31" s="38">
        <v>1.03442008085271</v>
      </c>
      <c r="I31" s="2">
        <f t="shared" si="1"/>
        <v>2.20142844417947</v>
      </c>
      <c r="J31" s="2">
        <f t="shared" si="2"/>
        <v>2.0690139222586099</v>
      </c>
      <c r="K31" s="2">
        <f t="shared" si="3"/>
        <v>1.8165079093587873</v>
      </c>
      <c r="L31" s="2">
        <f t="shared" si="4"/>
        <v>1.84136894235096</v>
      </c>
      <c r="M31" s="2">
        <f t="shared" si="5"/>
        <v>2.4808719130349002</v>
      </c>
      <c r="N31" s="2">
        <f t="shared" si="6"/>
        <v>2.05888747931064</v>
      </c>
      <c r="O31" s="2">
        <f t="shared" si="7"/>
        <v>1.912683147667257</v>
      </c>
    </row>
    <row r="32" spans="1:15" x14ac:dyDescent="0.4">
      <c r="A32" s="1">
        <v>40329</v>
      </c>
      <c r="B32" s="38">
        <v>1.9595030768439401</v>
      </c>
      <c r="C32" s="38">
        <v>1.89201371466527</v>
      </c>
      <c r="D32" s="38">
        <v>0.89819839778876298</v>
      </c>
      <c r="E32" s="38">
        <v>1.7359377075893401</v>
      </c>
      <c r="F32" s="38">
        <v>2.4017029936385801</v>
      </c>
      <c r="G32" s="38">
        <v>1.7740821651379399</v>
      </c>
      <c r="H32" s="38">
        <v>0.95518490039357495</v>
      </c>
      <c r="I32" s="2">
        <f t="shared" si="1"/>
        <v>1.9595030768439401</v>
      </c>
      <c r="J32" s="2">
        <f t="shared" si="2"/>
        <v>1.89201371466527</v>
      </c>
      <c r="K32" s="2">
        <f t="shared" si="3"/>
        <v>1.6933475802803417</v>
      </c>
      <c r="L32" s="2">
        <f t="shared" si="4"/>
        <v>1.7359377075893401</v>
      </c>
      <c r="M32" s="2">
        <f t="shared" si="5"/>
        <v>2.4017029936385801</v>
      </c>
      <c r="N32" s="2">
        <f t="shared" si="6"/>
        <v>1.7740821651379399</v>
      </c>
      <c r="O32" s="2">
        <f t="shared" si="7"/>
        <v>1.7661742030210625</v>
      </c>
    </row>
    <row r="33" spans="1:15" x14ac:dyDescent="0.4">
      <c r="A33" s="1">
        <v>40359</v>
      </c>
      <c r="B33" s="38">
        <v>1.74213131664092</v>
      </c>
      <c r="C33" s="38">
        <v>1.77999064746173</v>
      </c>
      <c r="D33" s="38">
        <v>0.83084967778583896</v>
      </c>
      <c r="E33" s="38">
        <v>1.56228646818518</v>
      </c>
      <c r="F33" s="38">
        <v>2.1519354740028498</v>
      </c>
      <c r="G33" s="38">
        <v>1.57462058266884</v>
      </c>
      <c r="H33" s="38">
        <v>0.86523619178810995</v>
      </c>
      <c r="I33" s="2">
        <f t="shared" si="1"/>
        <v>1.74213131664092</v>
      </c>
      <c r="J33" s="2">
        <f t="shared" si="2"/>
        <v>1.77999064746173</v>
      </c>
      <c r="K33" s="2">
        <f t="shared" si="3"/>
        <v>1.5663769774238996</v>
      </c>
      <c r="L33" s="2">
        <f t="shared" si="4"/>
        <v>1.56228646818518</v>
      </c>
      <c r="M33" s="2">
        <f t="shared" si="5"/>
        <v>2.1519354740028498</v>
      </c>
      <c r="N33" s="2">
        <f t="shared" si="6"/>
        <v>1.57462058266884</v>
      </c>
      <c r="O33" s="2">
        <f t="shared" si="7"/>
        <v>1.5998555262197731</v>
      </c>
    </row>
    <row r="34" spans="1:15" x14ac:dyDescent="0.4">
      <c r="A34" s="1">
        <v>40390</v>
      </c>
      <c r="B34" s="38">
        <v>2.02452255649923</v>
      </c>
      <c r="C34" s="38">
        <v>2.0087301497431</v>
      </c>
      <c r="D34" s="38">
        <v>0.94098262656286902</v>
      </c>
      <c r="E34" s="38">
        <v>1.77115151492843</v>
      </c>
      <c r="F34" s="38">
        <v>2.4155016798160598</v>
      </c>
      <c r="G34" s="38">
        <v>1.8382417231788899</v>
      </c>
      <c r="H34" s="38">
        <v>0.99044271508350201</v>
      </c>
      <c r="I34" s="2">
        <f t="shared" si="1"/>
        <v>2.02452255649923</v>
      </c>
      <c r="J34" s="2">
        <f t="shared" si="2"/>
        <v>2.0087301497431</v>
      </c>
      <c r="K34" s="2">
        <f t="shared" si="3"/>
        <v>1.774007455033126</v>
      </c>
      <c r="L34" s="2">
        <f t="shared" si="4"/>
        <v>1.77115151492843</v>
      </c>
      <c r="M34" s="2">
        <f t="shared" si="5"/>
        <v>2.4155016798160598</v>
      </c>
      <c r="N34" s="2">
        <f t="shared" si="6"/>
        <v>1.8382417231788899</v>
      </c>
      <c r="O34" s="2">
        <f t="shared" si="7"/>
        <v>1.8313672800206968</v>
      </c>
    </row>
    <row r="35" spans="1:15" x14ac:dyDescent="0.4">
      <c r="A35" s="1">
        <v>40421</v>
      </c>
      <c r="B35" s="38">
        <v>2.0387859958883401</v>
      </c>
      <c r="C35" s="38">
        <v>2.1063310539070899</v>
      </c>
      <c r="D35" s="38">
        <v>1.06308874681981</v>
      </c>
      <c r="E35" s="38">
        <v>1.8998488022336</v>
      </c>
      <c r="F35" s="38">
        <v>2.5089644558902502</v>
      </c>
      <c r="G35" s="38">
        <v>1.9234850597838899</v>
      </c>
      <c r="H35" s="38">
        <v>1.0545414290939701</v>
      </c>
      <c r="I35" s="2">
        <f t="shared" si="1"/>
        <v>2.0387859958883401</v>
      </c>
      <c r="J35" s="2">
        <f t="shared" si="2"/>
        <v>2.1063310539070899</v>
      </c>
      <c r="K35" s="2">
        <f t="shared" si="3"/>
        <v>2.0042106081266353</v>
      </c>
      <c r="L35" s="2">
        <f t="shared" si="4"/>
        <v>1.8998488022336</v>
      </c>
      <c r="M35" s="2">
        <f t="shared" si="5"/>
        <v>2.5089644558902502</v>
      </c>
      <c r="N35" s="2">
        <f t="shared" si="6"/>
        <v>1.9234850597838899</v>
      </c>
      <c r="O35" s="2">
        <f t="shared" si="7"/>
        <v>1.9498883067721315</v>
      </c>
    </row>
    <row r="36" spans="1:15" x14ac:dyDescent="0.4">
      <c r="A36" s="1">
        <v>40451</v>
      </c>
      <c r="B36" s="38">
        <v>2.0330888431859599</v>
      </c>
      <c r="C36" s="38">
        <v>2.1764451701480398</v>
      </c>
      <c r="D36" s="38">
        <v>1.1004698708746501</v>
      </c>
      <c r="E36" s="38">
        <v>1.9365667107612199</v>
      </c>
      <c r="F36" s="38">
        <v>2.5552436530155802</v>
      </c>
      <c r="G36" s="38">
        <v>1.9457202348702201</v>
      </c>
      <c r="H36" s="38">
        <v>1.0792016617114</v>
      </c>
      <c r="I36" s="2">
        <f t="shared" si="1"/>
        <v>2.0330888431859599</v>
      </c>
      <c r="J36" s="2">
        <f t="shared" si="2"/>
        <v>2.1764451701480398</v>
      </c>
      <c r="K36" s="2">
        <f t="shared" si="3"/>
        <v>2.0746841651072048</v>
      </c>
      <c r="L36" s="2">
        <f t="shared" si="4"/>
        <v>1.9365667107612199</v>
      </c>
      <c r="M36" s="2">
        <f t="shared" si="5"/>
        <v>2.5552436530155802</v>
      </c>
      <c r="N36" s="2">
        <f t="shared" si="6"/>
        <v>1.9457202348702201</v>
      </c>
      <c r="O36" s="2">
        <f t="shared" si="7"/>
        <v>1.9954860404375792</v>
      </c>
    </row>
    <row r="37" spans="1:15" x14ac:dyDescent="0.4">
      <c r="A37" s="1">
        <v>40482</v>
      </c>
      <c r="B37" s="38">
        <v>2.40910790188987</v>
      </c>
      <c r="C37" s="38">
        <v>2.5085024874573798</v>
      </c>
      <c r="D37" s="38">
        <v>1.2471897097585301</v>
      </c>
      <c r="E37" s="38">
        <v>2.1106450525767602</v>
      </c>
      <c r="F37" s="38">
        <v>2.82961985948159</v>
      </c>
      <c r="G37" s="38">
        <v>2.1246877266490398</v>
      </c>
      <c r="H37" s="38">
        <v>1.20220605255228</v>
      </c>
      <c r="I37" s="2">
        <f t="shared" si="1"/>
        <v>2.40910790188987</v>
      </c>
      <c r="J37" s="2">
        <f t="shared" si="2"/>
        <v>2.5085024874573798</v>
      </c>
      <c r="K37" s="2">
        <f t="shared" si="3"/>
        <v>2.3512908533007963</v>
      </c>
      <c r="L37" s="2">
        <f t="shared" si="4"/>
        <v>2.1106450525767602</v>
      </c>
      <c r="M37" s="2">
        <f t="shared" si="5"/>
        <v>2.82961985948159</v>
      </c>
      <c r="N37" s="2">
        <f t="shared" si="6"/>
        <v>2.1246877266490398</v>
      </c>
      <c r="O37" s="2">
        <f t="shared" si="7"/>
        <v>2.2229259652856035</v>
      </c>
    </row>
    <row r="38" spans="1:15" x14ac:dyDescent="0.4">
      <c r="A38" s="1">
        <v>40512</v>
      </c>
      <c r="B38" s="38">
        <v>2.1514963311533202</v>
      </c>
      <c r="C38" s="38">
        <v>2.7406569342190998</v>
      </c>
      <c r="D38" s="38">
        <v>1.28823515085736</v>
      </c>
      <c r="E38" s="38">
        <v>2.0566366438924102</v>
      </c>
      <c r="F38" s="38">
        <v>2.77539947718321</v>
      </c>
      <c r="G38" s="38">
        <v>2.1925347225106799</v>
      </c>
      <c r="H38" s="38">
        <v>1.1861925502410799</v>
      </c>
      <c r="I38" s="2">
        <f t="shared" si="1"/>
        <v>2.1514963311533202</v>
      </c>
      <c r="J38" s="2">
        <f t="shared" si="2"/>
        <v>2.7406569342190998</v>
      </c>
      <c r="K38" s="2">
        <f t="shared" si="3"/>
        <v>2.4286726417089612</v>
      </c>
      <c r="L38" s="2">
        <f t="shared" si="4"/>
        <v>2.0566366438924102</v>
      </c>
      <c r="M38" s="2">
        <f t="shared" si="5"/>
        <v>2.77539947718321</v>
      </c>
      <c r="N38" s="2">
        <f t="shared" si="6"/>
        <v>2.1925347225106799</v>
      </c>
      <c r="O38" s="2">
        <f t="shared" si="7"/>
        <v>2.1933163738123653</v>
      </c>
    </row>
    <row r="39" spans="1:15" x14ac:dyDescent="0.4">
      <c r="A39" s="1">
        <v>40543</v>
      </c>
      <c r="B39" s="38">
        <v>2.14233510081608</v>
      </c>
      <c r="C39" s="38">
        <v>2.6849735047460102</v>
      </c>
      <c r="D39" s="38">
        <v>1.19752716048023</v>
      </c>
      <c r="E39" s="38">
        <v>1.98735881793406</v>
      </c>
      <c r="F39" s="38">
        <v>2.6279897638506799</v>
      </c>
      <c r="G39" s="38">
        <v>2.1136842076239799</v>
      </c>
      <c r="H39" s="38">
        <v>1.1632169171215101</v>
      </c>
      <c r="I39" s="2">
        <f t="shared" si="1"/>
        <v>2.14233510081608</v>
      </c>
      <c r="J39" s="2">
        <f t="shared" si="2"/>
        <v>2.6849735047460102</v>
      </c>
      <c r="K39" s="2">
        <f t="shared" si="3"/>
        <v>2.2576634789278347</v>
      </c>
      <c r="L39" s="2">
        <f t="shared" si="4"/>
        <v>1.98735881793406</v>
      </c>
      <c r="M39" s="2">
        <f t="shared" si="5"/>
        <v>2.6279897638506799</v>
      </c>
      <c r="N39" s="2">
        <f t="shared" si="6"/>
        <v>2.1136842076239799</v>
      </c>
      <c r="O39" s="2">
        <f t="shared" si="7"/>
        <v>2.1508335304412647</v>
      </c>
    </row>
    <row r="40" spans="1:15" x14ac:dyDescent="0.4">
      <c r="A40" s="1">
        <v>40574</v>
      </c>
      <c r="B40" s="38">
        <v>2.2797384735089401</v>
      </c>
      <c r="C40" s="38">
        <v>2.7615044151014998</v>
      </c>
      <c r="D40" s="38">
        <v>1.1934498681833601</v>
      </c>
      <c r="E40" s="38">
        <v>1.9922606895110699</v>
      </c>
      <c r="F40" s="38">
        <v>2.7191163980814701</v>
      </c>
      <c r="G40" s="38">
        <v>2.0257682231745</v>
      </c>
      <c r="H40" s="38">
        <v>1.11645732726006</v>
      </c>
      <c r="I40" s="2">
        <f t="shared" si="1"/>
        <v>2.2797384735089401</v>
      </c>
      <c r="J40" s="2">
        <f t="shared" si="2"/>
        <v>2.7615044151014998</v>
      </c>
      <c r="K40" s="2">
        <f t="shared" si="3"/>
        <v>2.2499766771455141</v>
      </c>
      <c r="L40" s="2">
        <f t="shared" si="4"/>
        <v>1.9922606895110699</v>
      </c>
      <c r="M40" s="2">
        <f t="shared" si="5"/>
        <v>2.7191163980814701</v>
      </c>
      <c r="N40" s="2">
        <f t="shared" si="6"/>
        <v>2.0257682231745</v>
      </c>
      <c r="O40" s="2">
        <f t="shared" si="7"/>
        <v>2.0643732217375677</v>
      </c>
    </row>
    <row r="41" spans="1:15" x14ac:dyDescent="0.4">
      <c r="A41" s="1">
        <v>40602</v>
      </c>
      <c r="B41" s="38">
        <v>2.4190070954260099</v>
      </c>
      <c r="C41" s="38">
        <v>3.2459073800269</v>
      </c>
      <c r="D41" s="38">
        <v>1.29118519574585</v>
      </c>
      <c r="E41" s="38">
        <v>2.1897428273117199</v>
      </c>
      <c r="F41" s="38">
        <v>2.8731372508642301</v>
      </c>
      <c r="G41" s="38">
        <v>2.2601466549223099</v>
      </c>
      <c r="H41" s="38">
        <v>1.21583657233413</v>
      </c>
      <c r="I41" s="2">
        <f t="shared" si="1"/>
        <v>2.4190070954260099</v>
      </c>
      <c r="J41" s="2">
        <f t="shared" si="2"/>
        <v>3.2459073800269</v>
      </c>
      <c r="K41" s="2">
        <f t="shared" si="3"/>
        <v>2.4342342764056397</v>
      </c>
      <c r="L41" s="2">
        <f t="shared" si="4"/>
        <v>2.1897428273117199</v>
      </c>
      <c r="M41" s="2">
        <f t="shared" si="5"/>
        <v>2.8731372508642301</v>
      </c>
      <c r="N41" s="2">
        <f t="shared" si="6"/>
        <v>2.2601466549223099</v>
      </c>
      <c r="O41" s="2">
        <f t="shared" si="7"/>
        <v>2.2481293289511646</v>
      </c>
    </row>
    <row r="42" spans="1:15" x14ac:dyDescent="0.4">
      <c r="A42" s="1">
        <v>40633</v>
      </c>
      <c r="B42" s="38">
        <v>2.3307064735294598</v>
      </c>
      <c r="C42" s="38">
        <v>3.2301170347237602</v>
      </c>
      <c r="D42" s="38">
        <v>1.2497588424949699</v>
      </c>
      <c r="E42" s="38">
        <v>2.1426076483942902</v>
      </c>
      <c r="F42" s="38">
        <v>2.8376483549720599</v>
      </c>
      <c r="G42" s="38">
        <v>2.2541011134744502</v>
      </c>
      <c r="H42" s="38">
        <v>1.2037379780678501</v>
      </c>
      <c r="I42" s="2">
        <f t="shared" si="1"/>
        <v>2.3307064735294598</v>
      </c>
      <c r="J42" s="2">
        <f t="shared" si="2"/>
        <v>3.2301170347237602</v>
      </c>
      <c r="K42" s="2">
        <f t="shared" si="3"/>
        <v>2.3561343652836495</v>
      </c>
      <c r="L42" s="2">
        <f t="shared" si="4"/>
        <v>2.1426076483942902</v>
      </c>
      <c r="M42" s="2">
        <f t="shared" si="5"/>
        <v>2.8376483549720599</v>
      </c>
      <c r="N42" s="2">
        <f t="shared" si="6"/>
        <v>2.2541011134744502</v>
      </c>
      <c r="O42" s="2">
        <f t="shared" si="7"/>
        <v>2.2257585554212254</v>
      </c>
    </row>
    <row r="43" spans="1:15" x14ac:dyDescent="0.4">
      <c r="A43" s="1">
        <v>40663</v>
      </c>
      <c r="B43" s="38">
        <v>2.38144455763147</v>
      </c>
      <c r="C43" s="38">
        <v>3.1118918008728098</v>
      </c>
      <c r="D43" s="38">
        <v>1.3083454874615199</v>
      </c>
      <c r="E43" s="38">
        <v>2.24417685528535</v>
      </c>
      <c r="F43" s="38">
        <v>2.8405643279279502</v>
      </c>
      <c r="G43" s="38">
        <v>2.26990443346733</v>
      </c>
      <c r="H43" s="38">
        <v>1.1770996395776601</v>
      </c>
      <c r="I43" s="2">
        <f t="shared" si="1"/>
        <v>2.38144455763147</v>
      </c>
      <c r="J43" s="2">
        <f t="shared" si="2"/>
        <v>3.1118918008728098</v>
      </c>
      <c r="K43" s="2">
        <f t="shared" si="3"/>
        <v>2.4665860803335602</v>
      </c>
      <c r="L43" s="2">
        <f t="shared" si="4"/>
        <v>2.24417685528535</v>
      </c>
      <c r="M43" s="2">
        <f t="shared" si="5"/>
        <v>2.8405643279279502</v>
      </c>
      <c r="N43" s="2">
        <f t="shared" si="6"/>
        <v>2.26990443346733</v>
      </c>
      <c r="O43" s="2">
        <f t="shared" si="7"/>
        <v>2.1765032267059881</v>
      </c>
    </row>
    <row r="44" spans="1:15" x14ac:dyDescent="0.4">
      <c r="A44" s="1">
        <v>40694</v>
      </c>
      <c r="B44" s="38">
        <v>2.0869484843068</v>
      </c>
      <c r="C44" s="38">
        <v>2.8799393176052899</v>
      </c>
      <c r="D44" s="38">
        <v>1.2844305445542601</v>
      </c>
      <c r="E44" s="38">
        <v>2.0850509417258198</v>
      </c>
      <c r="F44" s="38">
        <v>2.6370507363989999</v>
      </c>
      <c r="G44" s="38">
        <v>2.0792710386114601</v>
      </c>
      <c r="H44" s="38">
        <v>1.09025865053146</v>
      </c>
      <c r="I44" s="2">
        <f t="shared" si="1"/>
        <v>2.0869484843068</v>
      </c>
      <c r="J44" s="2">
        <f t="shared" si="2"/>
        <v>2.8799393176052899</v>
      </c>
      <c r="K44" s="2">
        <f t="shared" si="3"/>
        <v>2.4214999269800841</v>
      </c>
      <c r="L44" s="2">
        <f t="shared" si="4"/>
        <v>2.0850509417258198</v>
      </c>
      <c r="M44" s="2">
        <f t="shared" si="5"/>
        <v>2.6370507363989999</v>
      </c>
      <c r="N44" s="2">
        <f t="shared" si="6"/>
        <v>2.0792710386114601</v>
      </c>
      <c r="O44" s="2">
        <f t="shared" si="7"/>
        <v>2.0159308447985311</v>
      </c>
    </row>
    <row r="45" spans="1:15" x14ac:dyDescent="0.4">
      <c r="A45" s="1">
        <v>40724</v>
      </c>
      <c r="B45" s="38">
        <v>2.1607682127803098</v>
      </c>
      <c r="C45" s="38">
        <v>3.1201863663145799</v>
      </c>
      <c r="D45" s="38">
        <v>1.3660856661723699</v>
      </c>
      <c r="E45" s="38">
        <v>2.1831586104599201</v>
      </c>
      <c r="F45" s="38">
        <v>2.7123529368739399</v>
      </c>
      <c r="G45" s="38">
        <v>2.07616326121531</v>
      </c>
      <c r="H45" s="38">
        <v>1.1238715845472</v>
      </c>
      <c r="I45" s="2">
        <f t="shared" si="1"/>
        <v>2.1607682127803098</v>
      </c>
      <c r="J45" s="2">
        <f t="shared" si="2"/>
        <v>3.1201863663145799</v>
      </c>
      <c r="K45" s="2">
        <f t="shared" si="3"/>
        <v>2.5754419769213057</v>
      </c>
      <c r="L45" s="2">
        <f t="shared" si="4"/>
        <v>2.1831586104599201</v>
      </c>
      <c r="M45" s="2">
        <f t="shared" si="5"/>
        <v>2.7123529368739399</v>
      </c>
      <c r="N45" s="2">
        <f t="shared" si="6"/>
        <v>2.07616326121531</v>
      </c>
      <c r="O45" s="2">
        <f t="shared" si="7"/>
        <v>2.0780824731607344</v>
      </c>
    </row>
    <row r="46" spans="1:15" x14ac:dyDescent="0.4">
      <c r="A46" s="1">
        <v>40755</v>
      </c>
      <c r="B46" s="38">
        <v>2.1981427272792202</v>
      </c>
      <c r="C46" s="38">
        <v>3.0450641298597501</v>
      </c>
      <c r="D46" s="38">
        <v>1.3858519787933401</v>
      </c>
      <c r="E46" s="38">
        <v>2.1397631639229799</v>
      </c>
      <c r="F46" s="38">
        <v>2.72751436158654</v>
      </c>
      <c r="G46" s="38">
        <v>2.14474776758501</v>
      </c>
      <c r="H46" s="38">
        <v>1.13302525804587</v>
      </c>
      <c r="I46" s="2">
        <f t="shared" si="1"/>
        <v>2.1981427272792202</v>
      </c>
      <c r="J46" s="2">
        <f t="shared" si="2"/>
        <v>3.0450641298597501</v>
      </c>
      <c r="K46" s="2">
        <f t="shared" si="3"/>
        <v>2.6127068370348243</v>
      </c>
      <c r="L46" s="2">
        <f t="shared" si="4"/>
        <v>2.1397631639229799</v>
      </c>
      <c r="M46" s="2">
        <f t="shared" si="5"/>
        <v>2.72751436158654</v>
      </c>
      <c r="N46" s="2">
        <f t="shared" si="6"/>
        <v>2.14474776758501</v>
      </c>
      <c r="O46" s="2">
        <f t="shared" si="7"/>
        <v>2.0950079731236912</v>
      </c>
    </row>
    <row r="47" spans="1:15" x14ac:dyDescent="0.4">
      <c r="A47" s="1">
        <v>40786</v>
      </c>
      <c r="B47" s="38">
        <v>2.0817606846672101</v>
      </c>
      <c r="C47" s="38">
        <v>2.7600269433225</v>
      </c>
      <c r="D47" s="38">
        <v>1.35362571007077</v>
      </c>
      <c r="E47" s="38">
        <v>2.0656013914576898</v>
      </c>
      <c r="F47" s="38">
        <v>2.5943110216612002</v>
      </c>
      <c r="G47" s="38">
        <v>2.06480264962482</v>
      </c>
      <c r="H47" s="38">
        <v>1.08039818179298</v>
      </c>
      <c r="I47" s="2">
        <f t="shared" si="1"/>
        <v>2.0817606846672101</v>
      </c>
      <c r="J47" s="2">
        <f t="shared" si="2"/>
        <v>2.7600269433225</v>
      </c>
      <c r="K47" s="2">
        <f t="shared" si="3"/>
        <v>2.551951580404249</v>
      </c>
      <c r="L47" s="2">
        <f t="shared" si="4"/>
        <v>2.0656013914576898</v>
      </c>
      <c r="M47" s="2">
        <f t="shared" si="5"/>
        <v>2.5943110216612002</v>
      </c>
      <c r="N47" s="2">
        <f t="shared" si="6"/>
        <v>2.06480264962482</v>
      </c>
      <c r="O47" s="2">
        <f t="shared" si="7"/>
        <v>1.9976984528203674</v>
      </c>
    </row>
    <row r="48" spans="1:15" x14ac:dyDescent="0.4">
      <c r="A48" s="1">
        <v>40816</v>
      </c>
      <c r="B48" s="38">
        <v>1.79095078339783</v>
      </c>
      <c r="C48" s="38">
        <v>2.31639515258155</v>
      </c>
      <c r="D48" s="38">
        <v>1.1701895328844401</v>
      </c>
      <c r="E48" s="38">
        <v>1.8187941048831799</v>
      </c>
      <c r="F48" s="38">
        <v>2.3563381427318602</v>
      </c>
      <c r="G48" s="38">
        <v>1.77970663883445</v>
      </c>
      <c r="H48" s="38">
        <v>0.96073723874056305</v>
      </c>
      <c r="I48" s="2">
        <f t="shared" si="1"/>
        <v>1.79095078339783</v>
      </c>
      <c r="J48" s="2">
        <f t="shared" si="2"/>
        <v>2.31639515258155</v>
      </c>
      <c r="K48" s="2">
        <f t="shared" si="3"/>
        <v>2.2061246366699323</v>
      </c>
      <c r="L48" s="2">
        <f t="shared" si="4"/>
        <v>1.8187941048831799</v>
      </c>
      <c r="M48" s="2">
        <f t="shared" si="5"/>
        <v>2.3563381427318602</v>
      </c>
      <c r="N48" s="2">
        <f t="shared" si="6"/>
        <v>1.77970663883445</v>
      </c>
      <c r="O48" s="2">
        <f t="shared" si="7"/>
        <v>1.7764406935726347</v>
      </c>
    </row>
    <row r="49" spans="1:15" x14ac:dyDescent="0.4">
      <c r="A49" s="1">
        <v>40847</v>
      </c>
      <c r="B49" s="38">
        <v>1.88595347721</v>
      </c>
      <c r="C49" s="38">
        <v>2.5225499478261102</v>
      </c>
      <c r="D49" s="38">
        <v>1.20880028382509</v>
      </c>
      <c r="E49" s="38">
        <v>1.8656330714929701</v>
      </c>
      <c r="F49" s="38">
        <v>2.4329945940209101</v>
      </c>
      <c r="G49" s="38">
        <v>1.8559084660488301</v>
      </c>
      <c r="H49" s="38">
        <v>1.0001249153968299</v>
      </c>
      <c r="I49" s="2">
        <f t="shared" si="1"/>
        <v>1.88595347721</v>
      </c>
      <c r="J49" s="2">
        <f t="shared" si="2"/>
        <v>2.5225499478261102</v>
      </c>
      <c r="K49" s="2">
        <f t="shared" si="3"/>
        <v>2.2789163738174447</v>
      </c>
      <c r="L49" s="2">
        <f t="shared" si="4"/>
        <v>1.8656330714929701</v>
      </c>
      <c r="M49" s="2">
        <f t="shared" si="5"/>
        <v>2.4329945940209101</v>
      </c>
      <c r="N49" s="2">
        <f t="shared" si="6"/>
        <v>1.8559084660488301</v>
      </c>
      <c r="O49" s="2">
        <f t="shared" si="7"/>
        <v>1.8492700467152248</v>
      </c>
    </row>
    <row r="50" spans="1:15" x14ac:dyDescent="0.4">
      <c r="A50" s="1">
        <v>40877</v>
      </c>
      <c r="B50" s="38">
        <v>1.7467211892363499</v>
      </c>
      <c r="C50" s="38">
        <v>2.5468298402258198</v>
      </c>
      <c r="D50" s="38">
        <v>1.1577406990579799</v>
      </c>
      <c r="E50" s="38">
        <v>1.7780889545323899</v>
      </c>
      <c r="F50" s="38">
        <v>2.2795750647269801</v>
      </c>
      <c r="G50" s="38">
        <v>1.7207372089097299</v>
      </c>
      <c r="H50" s="38">
        <v>0.95007267970209697</v>
      </c>
      <c r="I50" s="2">
        <f t="shared" si="1"/>
        <v>1.7467211892363499</v>
      </c>
      <c r="J50" s="2">
        <f t="shared" si="2"/>
        <v>2.5468298402258198</v>
      </c>
      <c r="K50" s="2">
        <f t="shared" si="3"/>
        <v>2.1826552086579865</v>
      </c>
      <c r="L50" s="2">
        <f t="shared" si="4"/>
        <v>1.7780889545323899</v>
      </c>
      <c r="M50" s="2">
        <f t="shared" si="5"/>
        <v>2.2795750647269801</v>
      </c>
      <c r="N50" s="2">
        <f t="shared" si="6"/>
        <v>1.7207372089097299</v>
      </c>
      <c r="O50" s="2">
        <f t="shared" si="7"/>
        <v>1.7567215072113627</v>
      </c>
    </row>
    <row r="51" spans="1:15" x14ac:dyDescent="0.4">
      <c r="A51" s="1">
        <v>40908</v>
      </c>
      <c r="B51" s="38">
        <v>1.3538173495110499</v>
      </c>
      <c r="C51" s="38">
        <v>2.3193882378159598</v>
      </c>
      <c r="D51" s="38">
        <v>1.0464491123966499</v>
      </c>
      <c r="E51" s="38">
        <v>1.5338539915459899</v>
      </c>
      <c r="F51" s="38">
        <v>2.0261333963586301</v>
      </c>
      <c r="G51" s="38">
        <v>1.4479312069824199</v>
      </c>
      <c r="H51" s="38">
        <v>0.82518862425114503</v>
      </c>
      <c r="I51" s="2">
        <f t="shared" si="1"/>
        <v>1.3538173495110499</v>
      </c>
      <c r="J51" s="2">
        <f t="shared" si="2"/>
        <v>2.3193882378159598</v>
      </c>
      <c r="K51" s="2">
        <f t="shared" si="3"/>
        <v>1.9728403844025955</v>
      </c>
      <c r="L51" s="2">
        <f t="shared" si="4"/>
        <v>1.5338539915459899</v>
      </c>
      <c r="M51" s="2">
        <f t="shared" si="5"/>
        <v>2.0261333963586301</v>
      </c>
      <c r="N51" s="2">
        <f t="shared" si="6"/>
        <v>1.4479312069824199</v>
      </c>
      <c r="O51" s="2">
        <f t="shared" si="7"/>
        <v>1.5258060090546806</v>
      </c>
    </row>
    <row r="52" spans="1:15" x14ac:dyDescent="0.4">
      <c r="A52" s="1">
        <v>40939</v>
      </c>
      <c r="B52" s="38">
        <v>1.4216347825151401</v>
      </c>
      <c r="C52" s="38">
        <v>2.36178678335096</v>
      </c>
      <c r="D52" s="38">
        <v>1.0823646819914401</v>
      </c>
      <c r="E52" s="38">
        <v>1.5690030747149999</v>
      </c>
      <c r="F52" s="38">
        <v>2.12900963262515</v>
      </c>
      <c r="G52" s="38">
        <v>1.4757988151858099</v>
      </c>
      <c r="H52" s="38">
        <v>0.84435110326511997</v>
      </c>
      <c r="I52" s="2">
        <f t="shared" si="1"/>
        <v>1.4216347825151401</v>
      </c>
      <c r="J52" s="2">
        <f t="shared" si="2"/>
        <v>2.36178678335096</v>
      </c>
      <c r="K52" s="2">
        <f t="shared" si="3"/>
        <v>2.0405509737528464</v>
      </c>
      <c r="L52" s="2">
        <f t="shared" si="4"/>
        <v>1.5690030747149999</v>
      </c>
      <c r="M52" s="2">
        <f t="shared" si="5"/>
        <v>2.12900963262515</v>
      </c>
      <c r="N52" s="2">
        <f t="shared" si="6"/>
        <v>1.4757988151858099</v>
      </c>
      <c r="O52" s="2">
        <f t="shared" si="7"/>
        <v>1.561238181492153</v>
      </c>
    </row>
    <row r="53" spans="1:15" x14ac:dyDescent="0.4">
      <c r="A53" s="1">
        <v>40968</v>
      </c>
      <c r="B53" s="38">
        <v>1.5543579382713599</v>
      </c>
      <c r="C53" s="38">
        <v>2.7118026660162</v>
      </c>
      <c r="D53" s="38">
        <v>1.17480715394646</v>
      </c>
      <c r="E53" s="38">
        <v>1.73237597070908</v>
      </c>
      <c r="F53" s="38">
        <v>2.28580315734771</v>
      </c>
      <c r="G53" s="38">
        <v>1.6544125508530401</v>
      </c>
      <c r="H53" s="38">
        <v>0.93326364037633702</v>
      </c>
      <c r="I53" s="2">
        <f t="shared" si="1"/>
        <v>1.5543579382713599</v>
      </c>
      <c r="J53" s="2">
        <f t="shared" si="2"/>
        <v>2.7118026660162</v>
      </c>
      <c r="K53" s="2">
        <f t="shared" si="3"/>
        <v>2.2148301047171617</v>
      </c>
      <c r="L53" s="2">
        <f t="shared" si="4"/>
        <v>1.73237597070908</v>
      </c>
      <c r="M53" s="2">
        <f t="shared" si="5"/>
        <v>2.28580315734771</v>
      </c>
      <c r="N53" s="2">
        <f t="shared" si="6"/>
        <v>1.6544125508530401</v>
      </c>
      <c r="O53" s="2">
        <f t="shared" si="7"/>
        <v>1.725640936713974</v>
      </c>
    </row>
    <row r="54" spans="1:15" x14ac:dyDescent="0.4">
      <c r="A54" s="1">
        <v>40999</v>
      </c>
      <c r="B54" s="38">
        <v>1.41608065457965</v>
      </c>
      <c r="C54" s="38">
        <v>2.4608649384152499</v>
      </c>
      <c r="D54" s="38">
        <v>1.10596605333058</v>
      </c>
      <c r="E54" s="38">
        <v>1.6165944480572401</v>
      </c>
      <c r="F54" s="38">
        <v>2.0793151947623798</v>
      </c>
      <c r="G54" s="38">
        <v>1.50300889857538</v>
      </c>
      <c r="H54" s="38">
        <v>0.86368791258312605</v>
      </c>
      <c r="I54" s="2">
        <f t="shared" si="1"/>
        <v>1.41608065457965</v>
      </c>
      <c r="J54" s="2">
        <f t="shared" si="2"/>
        <v>2.4608649384152499</v>
      </c>
      <c r="K54" s="2">
        <f t="shared" si="3"/>
        <v>2.0850459596566502</v>
      </c>
      <c r="L54" s="2">
        <f t="shared" si="4"/>
        <v>1.6165944480572401</v>
      </c>
      <c r="M54" s="2">
        <f t="shared" si="5"/>
        <v>2.0793151947623798</v>
      </c>
      <c r="N54" s="2">
        <f t="shared" si="6"/>
        <v>1.50300889857538</v>
      </c>
      <c r="O54" s="2">
        <f t="shared" si="7"/>
        <v>1.5969926974734332</v>
      </c>
    </row>
    <row r="55" spans="1:15" x14ac:dyDescent="0.4">
      <c r="A55" s="1">
        <v>41029</v>
      </c>
      <c r="B55" s="38">
        <v>1.5018406758382801</v>
      </c>
      <c r="C55" s="38">
        <v>2.5573768042524998</v>
      </c>
      <c r="D55" s="38">
        <v>1.2055754129982501</v>
      </c>
      <c r="E55" s="38">
        <v>1.7692498996235599</v>
      </c>
      <c r="F55" s="38">
        <v>2.2666010345944301</v>
      </c>
      <c r="G55" s="38">
        <v>1.61444294173323</v>
      </c>
      <c r="H55" s="38">
        <v>0.92388473549213002</v>
      </c>
      <c r="I55" s="2">
        <f t="shared" si="1"/>
        <v>1.5018406758382801</v>
      </c>
      <c r="J55" s="2">
        <f t="shared" si="2"/>
        <v>2.5573768042524998</v>
      </c>
      <c r="K55" s="2">
        <f t="shared" si="3"/>
        <v>2.2728366176914152</v>
      </c>
      <c r="L55" s="2">
        <f t="shared" si="4"/>
        <v>1.7692498996235599</v>
      </c>
      <c r="M55" s="2">
        <f t="shared" si="5"/>
        <v>2.2666010345944301</v>
      </c>
      <c r="N55" s="2">
        <f t="shared" si="6"/>
        <v>1.61444294173323</v>
      </c>
      <c r="O55" s="2">
        <f t="shared" si="7"/>
        <v>1.7082989751186333</v>
      </c>
    </row>
    <row r="56" spans="1:15" x14ac:dyDescent="0.4">
      <c r="A56" s="1">
        <v>41060</v>
      </c>
      <c r="B56" s="38">
        <v>1.4185185011217101</v>
      </c>
      <c r="C56" s="38">
        <v>2.5032288620097001</v>
      </c>
      <c r="D56" s="38">
        <v>1.21836906145499</v>
      </c>
      <c r="E56" s="38">
        <v>1.7905416644772401</v>
      </c>
      <c r="F56" s="38">
        <v>2.2547703108886998</v>
      </c>
      <c r="G56" s="38">
        <v>1.5781416941914399</v>
      </c>
      <c r="H56" s="38">
        <v>0.93403257193099498</v>
      </c>
      <c r="I56" s="2">
        <f t="shared" si="1"/>
        <v>1.4185185011217101</v>
      </c>
      <c r="J56" s="2">
        <f t="shared" si="2"/>
        <v>2.5032288620097001</v>
      </c>
      <c r="K56" s="2">
        <f t="shared" si="3"/>
        <v>2.2969561147986375</v>
      </c>
      <c r="L56" s="2">
        <f t="shared" si="4"/>
        <v>1.7905416644772401</v>
      </c>
      <c r="M56" s="2">
        <f t="shared" si="5"/>
        <v>2.2547703108886998</v>
      </c>
      <c r="N56" s="2">
        <f t="shared" si="6"/>
        <v>1.5781416941914399</v>
      </c>
      <c r="O56" s="2">
        <f t="shared" si="7"/>
        <v>1.7270627212032035</v>
      </c>
    </row>
    <row r="57" spans="1:15" x14ac:dyDescent="0.4">
      <c r="A57" s="1">
        <v>41090</v>
      </c>
      <c r="B57" s="38">
        <v>1.2386140556482199</v>
      </c>
      <c r="C57" s="38">
        <v>2.3070875490969498</v>
      </c>
      <c r="D57" s="38">
        <v>1.2112845810149599</v>
      </c>
      <c r="E57" s="38">
        <v>1.69889167007731</v>
      </c>
      <c r="F57" s="38">
        <v>2.0820020401557602</v>
      </c>
      <c r="G57" s="38">
        <v>1.4155978844344701</v>
      </c>
      <c r="H57" s="38">
        <v>0.87328581160039798</v>
      </c>
      <c r="I57" s="2">
        <f t="shared" si="1"/>
        <v>1.2386140556482199</v>
      </c>
      <c r="J57" s="2">
        <f t="shared" si="2"/>
        <v>2.3070875490969498</v>
      </c>
      <c r="K57" s="2">
        <f t="shared" si="3"/>
        <v>2.2835999477867595</v>
      </c>
      <c r="L57" s="2">
        <f t="shared" si="4"/>
        <v>1.69889167007731</v>
      </c>
      <c r="M57" s="2">
        <f t="shared" si="5"/>
        <v>2.0820020401557602</v>
      </c>
      <c r="N57" s="2">
        <f t="shared" si="6"/>
        <v>1.4155978844344701</v>
      </c>
      <c r="O57" s="2">
        <f t="shared" si="7"/>
        <v>1.6147395877776267</v>
      </c>
    </row>
    <row r="58" spans="1:15" x14ac:dyDescent="0.4">
      <c r="A58" s="1">
        <v>41121</v>
      </c>
      <c r="B58" s="38">
        <v>1.23717740856637</v>
      </c>
      <c r="C58" s="38">
        <v>2.2954499144723601</v>
      </c>
      <c r="D58" s="38">
        <v>1.17124912708759</v>
      </c>
      <c r="E58" s="38">
        <v>1.5932962155220101</v>
      </c>
      <c r="F58" s="38">
        <v>1.8931626178646099</v>
      </c>
      <c r="G58" s="38">
        <v>1.33417272695095</v>
      </c>
      <c r="H58" s="38">
        <v>0.80608357606133596</v>
      </c>
      <c r="I58" s="2">
        <f t="shared" si="1"/>
        <v>1.23717740856637</v>
      </c>
      <c r="J58" s="2">
        <f t="shared" si="2"/>
        <v>2.2954499144723601</v>
      </c>
      <c r="K58" s="2">
        <f t="shared" si="3"/>
        <v>2.2081222591154854</v>
      </c>
      <c r="L58" s="2">
        <f t="shared" si="4"/>
        <v>1.5932962155220101</v>
      </c>
      <c r="M58" s="2">
        <f t="shared" si="5"/>
        <v>1.8931626178646099</v>
      </c>
      <c r="N58" s="2">
        <f t="shared" si="6"/>
        <v>1.33417272695095</v>
      </c>
      <c r="O58" s="2">
        <f t="shared" si="7"/>
        <v>1.4904800284551007</v>
      </c>
    </row>
    <row r="59" spans="1:15" x14ac:dyDescent="0.4">
      <c r="A59" s="1">
        <v>41152</v>
      </c>
      <c r="B59" s="38">
        <v>1.29274313912885</v>
      </c>
      <c r="C59" s="38">
        <v>2.4054207010428001</v>
      </c>
      <c r="D59" s="38">
        <v>1.1267009936116801</v>
      </c>
      <c r="E59" s="38">
        <v>1.54928993479588</v>
      </c>
      <c r="F59" s="38">
        <v>1.8566687414395999</v>
      </c>
      <c r="G59" s="38">
        <v>1.3751726759168399</v>
      </c>
      <c r="H59" s="38">
        <v>0.79878761994956304</v>
      </c>
      <c r="I59" s="2">
        <f t="shared" si="1"/>
        <v>1.29274313912885</v>
      </c>
      <c r="J59" s="2">
        <f t="shared" si="2"/>
        <v>2.4054207010428001</v>
      </c>
      <c r="K59" s="2">
        <f t="shared" si="3"/>
        <v>2.1241369456110872</v>
      </c>
      <c r="L59" s="2">
        <f t="shared" si="4"/>
        <v>1.54928993479588</v>
      </c>
      <c r="M59" s="2">
        <f t="shared" si="5"/>
        <v>1.8566687414395999</v>
      </c>
      <c r="N59" s="2">
        <f t="shared" si="6"/>
        <v>1.3751726759168399</v>
      </c>
      <c r="O59" s="2">
        <f t="shared" si="7"/>
        <v>1.4769895205276014</v>
      </c>
    </row>
    <row r="60" spans="1:15" x14ac:dyDescent="0.4">
      <c r="A60" s="1">
        <v>41182</v>
      </c>
      <c r="B60" s="38">
        <v>1.3982463812260899</v>
      </c>
      <c r="C60" s="38">
        <v>2.3557973990032202</v>
      </c>
      <c r="D60" s="38">
        <v>1.16686766212332</v>
      </c>
      <c r="E60" s="38">
        <v>1.5606283293683301</v>
      </c>
      <c r="F60" s="38">
        <v>1.9305873109609899</v>
      </c>
      <c r="G60" s="38">
        <v>1.3815605418065899</v>
      </c>
      <c r="H60" s="38">
        <v>0.81598729899051503</v>
      </c>
      <c r="I60" s="2">
        <f t="shared" si="1"/>
        <v>1.3982463812260899</v>
      </c>
      <c r="J60" s="2">
        <f t="shared" si="2"/>
        <v>2.3557973990032202</v>
      </c>
      <c r="K60" s="2">
        <f t="shared" si="3"/>
        <v>2.1998620093604262</v>
      </c>
      <c r="L60" s="2">
        <f t="shared" si="4"/>
        <v>1.5606283293683301</v>
      </c>
      <c r="M60" s="2">
        <f t="shared" si="5"/>
        <v>1.9305873109609899</v>
      </c>
      <c r="N60" s="2">
        <f t="shared" si="6"/>
        <v>1.3815605418065899</v>
      </c>
      <c r="O60" s="2">
        <f t="shared" si="7"/>
        <v>1.5087923991219496</v>
      </c>
    </row>
    <row r="61" spans="1:15" x14ac:dyDescent="0.4">
      <c r="A61" s="1">
        <v>41213</v>
      </c>
      <c r="B61" s="38">
        <v>1.3962984983645299</v>
      </c>
      <c r="C61" s="38">
        <v>2.3915877766236902</v>
      </c>
      <c r="D61" s="38">
        <v>1.1371686274766499</v>
      </c>
      <c r="E61" s="38">
        <v>1.5282874063985401</v>
      </c>
      <c r="F61" s="38">
        <v>1.9294185693842301</v>
      </c>
      <c r="G61" s="38">
        <v>1.4503429834757</v>
      </c>
      <c r="H61" s="38">
        <v>0.813638828266398</v>
      </c>
      <c r="I61" s="2">
        <f t="shared" si="1"/>
        <v>1.3962984983645299</v>
      </c>
      <c r="J61" s="2">
        <f t="shared" si="2"/>
        <v>2.3915877766236902</v>
      </c>
      <c r="K61" s="2">
        <f t="shared" si="3"/>
        <v>2.1438712743742472</v>
      </c>
      <c r="L61" s="2">
        <f t="shared" si="4"/>
        <v>1.5282874063985401</v>
      </c>
      <c r="M61" s="2">
        <f t="shared" si="5"/>
        <v>1.9294185693842301</v>
      </c>
      <c r="N61" s="2">
        <f t="shared" si="6"/>
        <v>1.4503429834757</v>
      </c>
      <c r="O61" s="2">
        <f t="shared" si="7"/>
        <v>1.5044499849906368</v>
      </c>
    </row>
    <row r="62" spans="1:15" x14ac:dyDescent="0.4">
      <c r="A62" s="1">
        <v>41243</v>
      </c>
      <c r="B62" s="38">
        <v>1.1800913474391199</v>
      </c>
      <c r="C62" s="38">
        <v>2.1358392781792102</v>
      </c>
      <c r="D62" s="38">
        <v>1.0256240112219699</v>
      </c>
      <c r="E62" s="38">
        <v>1.3431545954816999</v>
      </c>
      <c r="F62" s="38">
        <v>1.7404077708730901</v>
      </c>
      <c r="G62" s="38">
        <v>1.28740930171688</v>
      </c>
      <c r="H62" s="38">
        <v>0.74020042209363202</v>
      </c>
      <c r="I62" s="2">
        <f t="shared" si="1"/>
        <v>1.1800913474391199</v>
      </c>
      <c r="J62" s="2">
        <f t="shared" si="2"/>
        <v>2.1358392781792102</v>
      </c>
      <c r="K62" s="2">
        <f t="shared" si="3"/>
        <v>1.9335794207112182</v>
      </c>
      <c r="L62" s="2">
        <f t="shared" si="4"/>
        <v>1.3431545954816999</v>
      </c>
      <c r="M62" s="2">
        <f t="shared" si="5"/>
        <v>1.7404077708730901</v>
      </c>
      <c r="N62" s="2">
        <f t="shared" si="6"/>
        <v>1.28740930171688</v>
      </c>
      <c r="O62" s="2">
        <f t="shared" si="7"/>
        <v>1.3686595024988404</v>
      </c>
    </row>
    <row r="63" spans="1:15" x14ac:dyDescent="0.4">
      <c r="A63" s="1">
        <v>41274</v>
      </c>
      <c r="B63" s="38">
        <v>1.38526125895907</v>
      </c>
      <c r="C63" s="38">
        <v>2.53068243297386</v>
      </c>
      <c r="D63" s="38">
        <v>1.1422925071885199</v>
      </c>
      <c r="E63" s="38">
        <v>1.51406494389279</v>
      </c>
      <c r="F63" s="38">
        <v>2.0197504813021001</v>
      </c>
      <c r="G63" s="38">
        <v>1.4721581901013101</v>
      </c>
      <c r="H63" s="38">
        <v>0.85562353858291096</v>
      </c>
      <c r="I63" s="2">
        <f t="shared" si="1"/>
        <v>1.38526125895907</v>
      </c>
      <c r="J63" s="2">
        <f t="shared" si="2"/>
        <v>2.53068243297386</v>
      </c>
      <c r="K63" s="2">
        <f t="shared" si="3"/>
        <v>2.1535311772788872</v>
      </c>
      <c r="L63" s="2">
        <f t="shared" si="4"/>
        <v>1.51406494389279</v>
      </c>
      <c r="M63" s="2">
        <f t="shared" si="5"/>
        <v>2.0197504813021001</v>
      </c>
      <c r="N63" s="2">
        <f t="shared" si="6"/>
        <v>1.4721581901013101</v>
      </c>
      <c r="O63" s="2">
        <f t="shared" si="7"/>
        <v>1.5820813548456081</v>
      </c>
    </row>
    <row r="64" spans="1:15" x14ac:dyDescent="0.4">
      <c r="A64" s="1">
        <v>41305</v>
      </c>
      <c r="B64" s="38">
        <v>1.6158923412078201</v>
      </c>
      <c r="C64" s="38">
        <v>2.9397140277472098</v>
      </c>
      <c r="D64" s="38">
        <v>1.1793617716198499</v>
      </c>
      <c r="E64" s="38">
        <v>1.54747505228176</v>
      </c>
      <c r="F64" s="38">
        <v>2.11036878764188</v>
      </c>
      <c r="G64" s="38">
        <v>1.5605729771018499</v>
      </c>
      <c r="H64" s="38">
        <v>0.91872300261249895</v>
      </c>
      <c r="I64" s="2">
        <f t="shared" si="1"/>
        <v>1.6158923412078201</v>
      </c>
      <c r="J64" s="2">
        <f t="shared" si="2"/>
        <v>2.9397140277472098</v>
      </c>
      <c r="K64" s="2">
        <f t="shared" si="3"/>
        <v>2.2234167942896708</v>
      </c>
      <c r="L64" s="2">
        <f t="shared" si="4"/>
        <v>1.54747505228176</v>
      </c>
      <c r="M64" s="2">
        <f t="shared" si="5"/>
        <v>2.11036878764188</v>
      </c>
      <c r="N64" s="2">
        <f t="shared" si="6"/>
        <v>1.5605729771018499</v>
      </c>
      <c r="O64" s="2">
        <f t="shared" si="7"/>
        <v>1.6987547293384355</v>
      </c>
    </row>
    <row r="65" spans="1:15" x14ac:dyDescent="0.4">
      <c r="A65" s="1">
        <v>41333</v>
      </c>
      <c r="B65" s="38">
        <v>1.7444448948917499</v>
      </c>
      <c r="C65" s="38">
        <v>3.07208968749985</v>
      </c>
      <c r="D65" s="38">
        <v>1.2847229490243399</v>
      </c>
      <c r="E65" s="38">
        <v>1.6254492836169201</v>
      </c>
      <c r="F65" s="38">
        <v>2.2403397216376999</v>
      </c>
      <c r="G65" s="38">
        <v>1.6227520795756301</v>
      </c>
      <c r="H65" s="38">
        <v>0.94771223886320199</v>
      </c>
      <c r="I65" s="2">
        <f t="shared" si="1"/>
        <v>1.7444448948917499</v>
      </c>
      <c r="J65" s="2">
        <f t="shared" si="2"/>
        <v>3.07208968749985</v>
      </c>
      <c r="K65" s="2">
        <f t="shared" si="3"/>
        <v>2.4220511887092204</v>
      </c>
      <c r="L65" s="2">
        <f t="shared" si="4"/>
        <v>1.6254492836169201</v>
      </c>
      <c r="M65" s="2">
        <f t="shared" si="5"/>
        <v>2.2403397216376999</v>
      </c>
      <c r="N65" s="2">
        <f t="shared" si="6"/>
        <v>1.6227520795756301</v>
      </c>
      <c r="O65" s="2">
        <f t="shared" si="7"/>
        <v>1.7523569598701141</v>
      </c>
    </row>
    <row r="66" spans="1:15" x14ac:dyDescent="0.4">
      <c r="A66" s="1">
        <v>41364</v>
      </c>
      <c r="B66" s="38">
        <v>1.77370292462784</v>
      </c>
      <c r="C66" s="38">
        <v>3.1198619214668502</v>
      </c>
      <c r="D66" s="38">
        <v>1.2622387149277201</v>
      </c>
      <c r="E66" s="38">
        <v>1.4944222190365</v>
      </c>
      <c r="F66" s="38">
        <v>2.20444603180901</v>
      </c>
      <c r="G66" s="38">
        <v>1.60709615176047</v>
      </c>
      <c r="H66" s="38">
        <v>0.91226532211211397</v>
      </c>
      <c r="I66" s="2">
        <f t="shared" si="1"/>
        <v>1.77370292462784</v>
      </c>
      <c r="J66" s="2">
        <f t="shared" si="2"/>
        <v>3.1198619214668502</v>
      </c>
      <c r="K66" s="2">
        <f t="shared" si="3"/>
        <v>2.3796623094864344</v>
      </c>
      <c r="L66" s="2">
        <f t="shared" si="4"/>
        <v>1.4944222190365</v>
      </c>
      <c r="M66" s="2">
        <f t="shared" si="5"/>
        <v>2.20444603180901</v>
      </c>
      <c r="N66" s="2">
        <f t="shared" si="6"/>
        <v>1.60709615176047</v>
      </c>
      <c r="O66" s="2">
        <f t="shared" si="7"/>
        <v>1.6868142257705581</v>
      </c>
    </row>
    <row r="67" spans="1:15" x14ac:dyDescent="0.4">
      <c r="A67" s="1">
        <v>41394</v>
      </c>
      <c r="B67" s="38">
        <v>1.7437597331454999</v>
      </c>
      <c r="C67" s="38">
        <v>3.0382218257208802</v>
      </c>
      <c r="D67" s="38">
        <v>1.2227754780128599</v>
      </c>
      <c r="E67" s="38">
        <v>1.4463140708168001</v>
      </c>
      <c r="F67" s="38">
        <v>2.1073117690005501</v>
      </c>
      <c r="G67" s="38">
        <v>1.5516811704244899</v>
      </c>
      <c r="H67" s="38">
        <v>0.88472582131445199</v>
      </c>
      <c r="I67" s="2">
        <f t="shared" si="1"/>
        <v>1.7437597331454999</v>
      </c>
      <c r="J67" s="2">
        <f t="shared" si="2"/>
        <v>3.0382218257208802</v>
      </c>
      <c r="K67" s="2">
        <f t="shared" si="3"/>
        <v>2.3052634050747565</v>
      </c>
      <c r="L67" s="2">
        <f t="shared" si="4"/>
        <v>1.4463140708168001</v>
      </c>
      <c r="M67" s="2">
        <f t="shared" si="5"/>
        <v>2.1073117690005501</v>
      </c>
      <c r="N67" s="2">
        <f t="shared" si="6"/>
        <v>1.5516811704244899</v>
      </c>
      <c r="O67" s="2">
        <f t="shared" si="7"/>
        <v>1.6358926127374511</v>
      </c>
    </row>
    <row r="68" spans="1:15" x14ac:dyDescent="0.4">
      <c r="A68" s="1">
        <v>41425</v>
      </c>
      <c r="B68" s="38">
        <v>1.9718670886773599</v>
      </c>
      <c r="C68" s="38">
        <v>3.2122142127764199</v>
      </c>
      <c r="D68" s="38">
        <v>1.30032390981351</v>
      </c>
      <c r="E68" s="38">
        <v>1.6877525564174101</v>
      </c>
      <c r="F68" s="38">
        <v>2.25902026196021</v>
      </c>
      <c r="G68" s="38">
        <v>1.7349734184458001</v>
      </c>
      <c r="H68" s="38">
        <v>0.97747690401764598</v>
      </c>
      <c r="I68" s="2">
        <f t="shared" si="1"/>
        <v>1.9718670886773599</v>
      </c>
      <c r="J68" s="2">
        <f t="shared" si="2"/>
        <v>3.2122142127764199</v>
      </c>
      <c r="K68" s="2">
        <f t="shared" si="3"/>
        <v>2.4514632309344422</v>
      </c>
      <c r="L68" s="2">
        <f t="shared" si="4"/>
        <v>1.6877525564174101</v>
      </c>
      <c r="M68" s="2">
        <f t="shared" si="5"/>
        <v>2.25902026196021</v>
      </c>
      <c r="N68" s="2">
        <f t="shared" si="6"/>
        <v>1.7349734184458001</v>
      </c>
      <c r="O68" s="2">
        <f t="shared" si="7"/>
        <v>1.8073929887433491</v>
      </c>
    </row>
    <row r="69" spans="1:15" x14ac:dyDescent="0.4">
      <c r="A69" s="1">
        <v>41455</v>
      </c>
      <c r="B69" s="38">
        <v>1.6207054684758</v>
      </c>
      <c r="C69" s="38">
        <v>2.7316616311630302</v>
      </c>
      <c r="D69" s="38">
        <v>1.20534060093811</v>
      </c>
      <c r="E69" s="38">
        <v>1.4794640221014299</v>
      </c>
      <c r="F69" s="38">
        <v>1.8870714584820301</v>
      </c>
      <c r="G69" s="38">
        <v>1.4526471247630599</v>
      </c>
      <c r="H69" s="38">
        <v>0.82591574344353602</v>
      </c>
      <c r="I69" s="2">
        <f t="shared" si="1"/>
        <v>1.6207054684758</v>
      </c>
      <c r="J69" s="2">
        <f t="shared" si="2"/>
        <v>2.7316616311630302</v>
      </c>
      <c r="K69" s="2">
        <f t="shared" si="3"/>
        <v>2.2723939332746563</v>
      </c>
      <c r="L69" s="2">
        <f t="shared" si="4"/>
        <v>1.4794640221014299</v>
      </c>
      <c r="M69" s="2">
        <f t="shared" si="5"/>
        <v>1.8870714584820301</v>
      </c>
      <c r="N69" s="2">
        <f t="shared" si="6"/>
        <v>1.4526471247630599</v>
      </c>
      <c r="O69" s="2">
        <f t="shared" si="7"/>
        <v>1.5271504808523328</v>
      </c>
    </row>
    <row r="70" spans="1:15" x14ac:dyDescent="0.4">
      <c r="A70" s="1">
        <v>41486</v>
      </c>
      <c r="B70" s="38">
        <v>1.74111815078084</v>
      </c>
      <c r="C70" s="38">
        <v>2.6149383179461001</v>
      </c>
      <c r="D70" s="38">
        <v>1.1567524580889701</v>
      </c>
      <c r="E70" s="38">
        <v>1.5053050006584401</v>
      </c>
      <c r="F70" s="38">
        <v>1.9008928718729501</v>
      </c>
      <c r="G70" s="38">
        <v>1.5185916481650601</v>
      </c>
      <c r="H70" s="38">
        <v>0.85752346818833303</v>
      </c>
      <c r="I70" s="2">
        <f t="shared" si="1"/>
        <v>1.74111815078084</v>
      </c>
      <c r="J70" s="2">
        <f t="shared" si="2"/>
        <v>2.6149383179461001</v>
      </c>
      <c r="K70" s="2">
        <f t="shared" si="3"/>
        <v>2.1807921064105025</v>
      </c>
      <c r="L70" s="2">
        <f t="shared" si="4"/>
        <v>1.5053050006584401</v>
      </c>
      <c r="M70" s="2">
        <f t="shared" si="5"/>
        <v>1.9008928718729501</v>
      </c>
      <c r="N70" s="2">
        <f t="shared" si="6"/>
        <v>1.5185916481650601</v>
      </c>
      <c r="O70" s="2">
        <f t="shared" si="7"/>
        <v>1.5855943989224874</v>
      </c>
    </row>
    <row r="71" spans="1:15" x14ac:dyDescent="0.4">
      <c r="A71" s="1">
        <v>41517</v>
      </c>
      <c r="B71" s="38">
        <v>1.86907460254033</v>
      </c>
      <c r="C71" s="38">
        <v>2.8567830633963598</v>
      </c>
      <c r="D71" s="38">
        <v>1.1717690446461499</v>
      </c>
      <c r="E71" s="38">
        <v>1.6064015664879401</v>
      </c>
      <c r="F71" s="38">
        <v>1.99461063393222</v>
      </c>
      <c r="G71" s="38">
        <v>1.80664086807795</v>
      </c>
      <c r="H71" s="38">
        <v>0.93053881323124299</v>
      </c>
      <c r="I71" s="2">
        <f t="shared" si="1"/>
        <v>1.86907460254033</v>
      </c>
      <c r="J71" s="2">
        <f t="shared" si="2"/>
        <v>2.8567830633963598</v>
      </c>
      <c r="K71" s="2">
        <f t="shared" si="3"/>
        <v>2.2091024447202474</v>
      </c>
      <c r="L71" s="2">
        <f t="shared" si="4"/>
        <v>1.6064015664879401</v>
      </c>
      <c r="M71" s="2">
        <f t="shared" si="5"/>
        <v>1.99461063393222</v>
      </c>
      <c r="N71" s="2">
        <f t="shared" si="6"/>
        <v>1.80664086807795</v>
      </c>
      <c r="O71" s="2">
        <f t="shared" si="7"/>
        <v>1.7206026248548003</v>
      </c>
    </row>
    <row r="72" spans="1:15" x14ac:dyDescent="0.4">
      <c r="A72" s="1">
        <v>41547</v>
      </c>
      <c r="B72" s="38">
        <v>1.98255156125221</v>
      </c>
      <c r="C72" s="38">
        <v>3.4609603161176001</v>
      </c>
      <c r="D72" s="38">
        <v>1.1115456252064799</v>
      </c>
      <c r="E72" s="38">
        <v>1.5707550945311199</v>
      </c>
      <c r="F72" s="38">
        <v>2.0462813153061399</v>
      </c>
      <c r="G72" s="38">
        <v>1.88184895639838</v>
      </c>
      <c r="H72" s="38">
        <v>0.97160247647230802</v>
      </c>
      <c r="I72" s="2">
        <f t="shared" si="1"/>
        <v>1.98255156125221</v>
      </c>
      <c r="J72" s="2">
        <f t="shared" si="2"/>
        <v>3.4609603161176001</v>
      </c>
      <c r="K72" s="2">
        <f t="shared" si="3"/>
        <v>2.0955649658787894</v>
      </c>
      <c r="L72" s="2">
        <f t="shared" si="4"/>
        <v>1.5707550945311199</v>
      </c>
      <c r="M72" s="2">
        <f t="shared" si="5"/>
        <v>2.0462813153061399</v>
      </c>
      <c r="N72" s="2">
        <f t="shared" si="6"/>
        <v>1.88184895639838</v>
      </c>
      <c r="O72" s="2">
        <f t="shared" si="7"/>
        <v>1.7965309426789513</v>
      </c>
    </row>
    <row r="73" spans="1:15" x14ac:dyDescent="0.4">
      <c r="A73" s="1">
        <v>41578</v>
      </c>
      <c r="B73" s="38">
        <v>1.9085579641394399</v>
      </c>
      <c r="C73" s="38">
        <v>2.9315186535982298</v>
      </c>
      <c r="D73" s="38">
        <v>1.0541070816406899</v>
      </c>
      <c r="E73" s="38">
        <v>1.58239474795918</v>
      </c>
      <c r="F73" s="38">
        <v>2.0496380162322501</v>
      </c>
      <c r="G73" s="38">
        <v>1.8136454063657499</v>
      </c>
      <c r="H73" s="38">
        <v>0.94645510382593301</v>
      </c>
      <c r="I73" s="2">
        <f t="shared" si="1"/>
        <v>1.9085579641394399</v>
      </c>
      <c r="J73" s="2">
        <f t="shared" si="2"/>
        <v>2.9315186535982298</v>
      </c>
      <c r="K73" s="2">
        <f t="shared" si="3"/>
        <v>1.9872777333459701</v>
      </c>
      <c r="L73" s="2">
        <f t="shared" si="4"/>
        <v>1.58239474795918</v>
      </c>
      <c r="M73" s="2">
        <f t="shared" si="5"/>
        <v>2.0496380162322501</v>
      </c>
      <c r="N73" s="2">
        <f t="shared" si="6"/>
        <v>1.8136454063657499</v>
      </c>
      <c r="O73" s="2">
        <f t="shared" si="7"/>
        <v>1.7500324680658323</v>
      </c>
    </row>
    <row r="74" spans="1:15" x14ac:dyDescent="0.4">
      <c r="A74" s="1">
        <v>41608</v>
      </c>
      <c r="B74" s="38">
        <v>2.0800114439108799</v>
      </c>
      <c r="C74" s="38">
        <v>3.2856577956712201</v>
      </c>
      <c r="D74" s="38">
        <v>1.0720067579817001</v>
      </c>
      <c r="E74" s="38">
        <v>1.6807027671622401</v>
      </c>
      <c r="F74" s="38">
        <v>2.0991363677766399</v>
      </c>
      <c r="G74" s="38">
        <v>1.94363117283659</v>
      </c>
      <c r="H74" s="38">
        <v>1.0089640529080901</v>
      </c>
      <c r="I74" s="2">
        <f t="shared" si="1"/>
        <v>2.0800114439108799</v>
      </c>
      <c r="J74" s="2">
        <f t="shared" si="2"/>
        <v>3.2856577956712201</v>
      </c>
      <c r="K74" s="2">
        <f t="shared" si="3"/>
        <v>2.0210234778212115</v>
      </c>
      <c r="L74" s="2">
        <f t="shared" si="4"/>
        <v>1.6807027671622401</v>
      </c>
      <c r="M74" s="2">
        <f t="shared" si="5"/>
        <v>2.0991363677766399</v>
      </c>
      <c r="N74" s="2">
        <f t="shared" si="6"/>
        <v>1.94363117283659</v>
      </c>
      <c r="O74" s="2">
        <f t="shared" si="7"/>
        <v>1.8656139573475128</v>
      </c>
    </row>
    <row r="75" spans="1:15" x14ac:dyDescent="0.4">
      <c r="A75" s="1">
        <v>41639</v>
      </c>
      <c r="B75" s="38">
        <v>2.0331374055806402</v>
      </c>
      <c r="C75" s="38">
        <v>3.1065472725108001</v>
      </c>
      <c r="D75" s="38">
        <v>1.05257557500706</v>
      </c>
      <c r="E75" s="38">
        <v>1.6719520667544201</v>
      </c>
      <c r="F75" s="38">
        <v>1.9813968036109599</v>
      </c>
      <c r="G75" s="38">
        <v>1.9603669928169201</v>
      </c>
      <c r="H75" s="38">
        <v>0.97083780005639797</v>
      </c>
      <c r="I75" s="2">
        <f t="shared" si="1"/>
        <v>2.0331374055806402</v>
      </c>
      <c r="J75" s="2">
        <f t="shared" si="2"/>
        <v>3.1065472725108001</v>
      </c>
      <c r="K75" s="2">
        <f t="shared" si="3"/>
        <v>1.9843904279815594</v>
      </c>
      <c r="L75" s="2">
        <f t="shared" si="4"/>
        <v>1.6719520667544201</v>
      </c>
      <c r="M75" s="2">
        <f t="shared" si="5"/>
        <v>1.9813968036109599</v>
      </c>
      <c r="N75" s="2">
        <f t="shared" si="6"/>
        <v>1.9603669928169201</v>
      </c>
      <c r="O75" s="2">
        <f t="shared" si="7"/>
        <v>1.7951170261075289</v>
      </c>
    </row>
    <row r="76" spans="1:15" x14ac:dyDescent="0.4">
      <c r="A76" s="1">
        <v>41670</v>
      </c>
      <c r="B76" s="38">
        <v>2.0408767765060598</v>
      </c>
      <c r="C76" s="38">
        <v>3.30389997341782</v>
      </c>
      <c r="D76" s="38">
        <v>0.99322096515064096</v>
      </c>
      <c r="E76" s="38">
        <v>1.58694141576047</v>
      </c>
      <c r="F76" s="38">
        <v>1.89327583598303</v>
      </c>
      <c r="G76" s="38">
        <v>1.88691729986797</v>
      </c>
      <c r="H76" s="38">
        <v>0.95049707724145205</v>
      </c>
      <c r="I76" s="2">
        <f t="shared" si="1"/>
        <v>2.0408767765060598</v>
      </c>
      <c r="J76" s="2">
        <f t="shared" si="2"/>
        <v>3.30389997341782</v>
      </c>
      <c r="K76" s="2">
        <f t="shared" si="3"/>
        <v>1.8724908908344355</v>
      </c>
      <c r="L76" s="2">
        <f t="shared" si="4"/>
        <v>1.58694141576047</v>
      </c>
      <c r="M76" s="2">
        <f t="shared" si="5"/>
        <v>1.89327583598303</v>
      </c>
      <c r="N76" s="2">
        <f t="shared" si="6"/>
        <v>1.88691729986797</v>
      </c>
      <c r="O76" s="2">
        <f t="shared" si="7"/>
        <v>1.7575062348442281</v>
      </c>
    </row>
    <row r="77" spans="1:15" x14ac:dyDescent="0.4">
      <c r="A77" s="1">
        <v>41698</v>
      </c>
      <c r="B77" s="38">
        <v>2.1664956233018802</v>
      </c>
      <c r="C77" s="38">
        <v>3.45923358434748</v>
      </c>
      <c r="D77" s="38">
        <v>0.99516185826848402</v>
      </c>
      <c r="E77" s="38">
        <v>1.6358016610350601</v>
      </c>
      <c r="F77" s="38">
        <v>1.9810809514828001</v>
      </c>
      <c r="G77" s="38">
        <v>1.9849935516573201</v>
      </c>
      <c r="H77" s="38">
        <v>0.96721792570895504</v>
      </c>
      <c r="I77" s="2">
        <f t="shared" si="1"/>
        <v>2.1664956233018802</v>
      </c>
      <c r="J77" s="2">
        <f t="shared" si="2"/>
        <v>3.45923358434748</v>
      </c>
      <c r="K77" s="2">
        <f t="shared" si="3"/>
        <v>1.8761500007513241</v>
      </c>
      <c r="L77" s="2">
        <f t="shared" si="4"/>
        <v>1.6358016610350601</v>
      </c>
      <c r="M77" s="2">
        <f t="shared" si="5"/>
        <v>1.9810809514828001</v>
      </c>
      <c r="N77" s="2">
        <f t="shared" si="6"/>
        <v>1.9849935516573201</v>
      </c>
      <c r="O77" s="2">
        <f t="shared" si="7"/>
        <v>1.788423736998795</v>
      </c>
    </row>
    <row r="78" spans="1:15" x14ac:dyDescent="0.4">
      <c r="A78" s="1">
        <v>41729</v>
      </c>
      <c r="B78" s="38">
        <v>2.0085695971905202</v>
      </c>
      <c r="C78" s="38">
        <v>3.3874811024820102</v>
      </c>
      <c r="D78" s="38">
        <v>1.0109179025696799</v>
      </c>
      <c r="E78" s="38">
        <v>1.63914512677318</v>
      </c>
      <c r="F78" s="38">
        <v>1.98226592498646</v>
      </c>
      <c r="G78" s="38">
        <v>1.94071906577026</v>
      </c>
      <c r="H78" s="38">
        <v>0.95144601066366097</v>
      </c>
      <c r="I78" s="2">
        <f t="shared" si="1"/>
        <v>2.0085695971905202</v>
      </c>
      <c r="J78" s="2">
        <f t="shared" si="2"/>
        <v>3.3874811024820102</v>
      </c>
      <c r="K78" s="2">
        <f t="shared" si="3"/>
        <v>1.9058544174569245</v>
      </c>
      <c r="L78" s="2">
        <f t="shared" si="4"/>
        <v>1.63914512677318</v>
      </c>
      <c r="M78" s="2">
        <f t="shared" si="5"/>
        <v>1.98226592498646</v>
      </c>
      <c r="N78" s="2">
        <f t="shared" si="6"/>
        <v>1.94071906577026</v>
      </c>
      <c r="O78" s="2">
        <f t="shared" si="7"/>
        <v>1.7592608498198201</v>
      </c>
    </row>
    <row r="79" spans="1:15" x14ac:dyDescent="0.4">
      <c r="A79" s="1">
        <v>41759</v>
      </c>
      <c r="B79" s="38">
        <v>1.9689657646299299</v>
      </c>
      <c r="C79" s="38">
        <v>3.2386176583108899</v>
      </c>
      <c r="D79" s="38">
        <v>1.0456910752006601</v>
      </c>
      <c r="E79" s="38">
        <v>1.6836723919210199</v>
      </c>
      <c r="F79" s="38">
        <v>1.9266704204282401</v>
      </c>
      <c r="G79" s="38">
        <v>1.9428058416812</v>
      </c>
      <c r="H79" s="38">
        <v>0.93722209885338903</v>
      </c>
      <c r="I79" s="2">
        <f t="shared" si="1"/>
        <v>1.9689657646299299</v>
      </c>
      <c r="J79" s="2">
        <f t="shared" si="2"/>
        <v>3.2386176583108899</v>
      </c>
      <c r="K79" s="2">
        <f t="shared" si="3"/>
        <v>1.9714112787008351</v>
      </c>
      <c r="L79" s="2">
        <f t="shared" si="4"/>
        <v>1.6836723919210199</v>
      </c>
      <c r="M79" s="2">
        <f t="shared" si="5"/>
        <v>1.9266704204282401</v>
      </c>
      <c r="N79" s="2">
        <f t="shared" si="6"/>
        <v>1.9428058416812</v>
      </c>
      <c r="O79" s="2">
        <f t="shared" si="7"/>
        <v>1.7329602811079428</v>
      </c>
    </row>
    <row r="80" spans="1:15" x14ac:dyDescent="0.4">
      <c r="A80" s="1">
        <v>41790</v>
      </c>
      <c r="B80" s="38">
        <v>2.0224104786570698</v>
      </c>
      <c r="C80" s="38">
        <v>3.3250379498920002</v>
      </c>
      <c r="D80" s="38">
        <v>1.04069714286427</v>
      </c>
      <c r="E80" s="38">
        <v>1.6643504609516699</v>
      </c>
      <c r="F80" s="38">
        <v>1.9453945215999</v>
      </c>
      <c r="G80" s="38">
        <v>1.93946426248951</v>
      </c>
      <c r="H80" s="38">
        <v>0.94493897011015104</v>
      </c>
      <c r="I80" s="2">
        <f t="shared" si="1"/>
        <v>2.0224104786570698</v>
      </c>
      <c r="J80" s="2">
        <f t="shared" si="2"/>
        <v>3.3250379498920002</v>
      </c>
      <c r="K80" s="2">
        <f t="shared" si="3"/>
        <v>1.9619963618420113</v>
      </c>
      <c r="L80" s="2">
        <f t="shared" si="4"/>
        <v>1.6643504609516699</v>
      </c>
      <c r="M80" s="2">
        <f t="shared" si="5"/>
        <v>1.9453945215999</v>
      </c>
      <c r="N80" s="2">
        <f t="shared" si="6"/>
        <v>1.93946426248951</v>
      </c>
      <c r="O80" s="2">
        <f t="shared" si="7"/>
        <v>1.7472290775850561</v>
      </c>
    </row>
    <row r="81" spans="1:15" x14ac:dyDescent="0.4">
      <c r="A81" s="1">
        <v>41820</v>
      </c>
      <c r="B81" s="38">
        <v>2.1847756211252101</v>
      </c>
      <c r="C81" s="38">
        <v>3.3428792834729499</v>
      </c>
      <c r="D81" s="38">
        <v>1.07263330894974</v>
      </c>
      <c r="E81" s="38">
        <v>1.7398460636767401</v>
      </c>
      <c r="F81" s="38">
        <v>1.98959413076503</v>
      </c>
      <c r="G81" s="38">
        <v>2.0483436373096202</v>
      </c>
      <c r="H81" s="38">
        <v>0.97642687170776798</v>
      </c>
      <c r="I81" s="2">
        <f t="shared" ref="I81:I144" si="8">B81/B$16</f>
        <v>2.1847756211252101</v>
      </c>
      <c r="J81" s="2">
        <f t="shared" ref="J81:J144" si="9">C81/C$16</f>
        <v>3.3428792834729499</v>
      </c>
      <c r="K81" s="2">
        <f t="shared" ref="K81:K144" si="10">D81/D$16</f>
        <v>2.0222046963228975</v>
      </c>
      <c r="L81" s="2">
        <f t="shared" ref="L81:L144" si="11">E81/E$16</f>
        <v>1.7398460636767401</v>
      </c>
      <c r="M81" s="2">
        <f t="shared" ref="M81:M144" si="12">F81/F$16</f>
        <v>1.98959413076503</v>
      </c>
      <c r="N81" s="2">
        <f t="shared" ref="N81:N144" si="13">G81/G$16</f>
        <v>2.0483436373096202</v>
      </c>
      <c r="O81" s="2">
        <f t="shared" ref="O81:O144" si="14">H81/H$16</f>
        <v>1.8054514379741933</v>
      </c>
    </row>
    <row r="82" spans="1:15" x14ac:dyDescent="0.4">
      <c r="A82" s="1">
        <v>41851</v>
      </c>
      <c r="B82" s="38">
        <v>2.2780653189712599</v>
      </c>
      <c r="C82" s="38">
        <v>3.7460675102525598</v>
      </c>
      <c r="D82" s="38">
        <v>1.1583124056370699</v>
      </c>
      <c r="E82" s="38">
        <v>1.87942271478138</v>
      </c>
      <c r="F82" s="38">
        <v>2.2250606667053301</v>
      </c>
      <c r="G82" s="38">
        <v>2.2774915273165601</v>
      </c>
      <c r="H82" s="38">
        <v>1.07142151064471</v>
      </c>
      <c r="I82" s="2">
        <f t="shared" si="8"/>
        <v>2.2780653189712599</v>
      </c>
      <c r="J82" s="2">
        <f t="shared" si="9"/>
        <v>3.7460675102525598</v>
      </c>
      <c r="K82" s="2">
        <f t="shared" si="10"/>
        <v>2.1837330306121512</v>
      </c>
      <c r="L82" s="2">
        <f t="shared" si="11"/>
        <v>1.87942271478138</v>
      </c>
      <c r="M82" s="2">
        <f t="shared" si="12"/>
        <v>2.2250606667053301</v>
      </c>
      <c r="N82" s="2">
        <f t="shared" si="13"/>
        <v>2.2774915273165601</v>
      </c>
      <c r="O82" s="2">
        <f t="shared" si="14"/>
        <v>1.98110023711936</v>
      </c>
    </row>
    <row r="83" spans="1:15" x14ac:dyDescent="0.4">
      <c r="A83" s="1">
        <v>41882</v>
      </c>
      <c r="B83" s="38">
        <v>2.4944110100964201</v>
      </c>
      <c r="C83" s="38">
        <v>3.7399092659917699</v>
      </c>
      <c r="D83" s="38">
        <v>1.19810452786354</v>
      </c>
      <c r="E83" s="38">
        <v>1.87389468029703</v>
      </c>
      <c r="F83" s="38">
        <v>2.3005422589225302</v>
      </c>
      <c r="G83" s="38">
        <v>2.4625700358190801</v>
      </c>
      <c r="H83" s="38">
        <v>1.11584733271725</v>
      </c>
      <c r="I83" s="2">
        <f t="shared" si="8"/>
        <v>2.4944110100964201</v>
      </c>
      <c r="J83" s="2">
        <f t="shared" si="9"/>
        <v>3.7399092659917699</v>
      </c>
      <c r="K83" s="2">
        <f t="shared" si="10"/>
        <v>2.2587519730332217</v>
      </c>
      <c r="L83" s="2">
        <f t="shared" si="11"/>
        <v>1.87389468029703</v>
      </c>
      <c r="M83" s="2">
        <f t="shared" si="12"/>
        <v>2.3005422589225302</v>
      </c>
      <c r="N83" s="2">
        <f t="shared" si="13"/>
        <v>2.4625700358190801</v>
      </c>
      <c r="O83" s="2">
        <f t="shared" si="14"/>
        <v>2.0632453179934331</v>
      </c>
    </row>
    <row r="84" spans="1:15" x14ac:dyDescent="0.4">
      <c r="A84" s="1">
        <v>41912</v>
      </c>
      <c r="B84" s="38">
        <v>3.0521271987127401</v>
      </c>
      <c r="C84" s="38">
        <v>4.7410934211264602</v>
      </c>
      <c r="D84" s="38">
        <v>1.26040850699046</v>
      </c>
      <c r="E84" s="38">
        <v>1.9945364692954399</v>
      </c>
      <c r="F84" s="38">
        <v>2.5987103574771702</v>
      </c>
      <c r="G84" s="38">
        <v>2.7522735947041999</v>
      </c>
      <c r="H84" s="38">
        <v>1.2387782798457001</v>
      </c>
      <c r="I84" s="2">
        <f t="shared" si="8"/>
        <v>3.0521271987127401</v>
      </c>
      <c r="J84" s="2">
        <f t="shared" si="9"/>
        <v>4.7410934211264602</v>
      </c>
      <c r="K84" s="2">
        <f t="shared" si="10"/>
        <v>2.3762118711538802</v>
      </c>
      <c r="L84" s="2">
        <f t="shared" si="11"/>
        <v>1.9945364692954399</v>
      </c>
      <c r="M84" s="2">
        <f t="shared" si="12"/>
        <v>2.5987103574771702</v>
      </c>
      <c r="N84" s="2">
        <f t="shared" si="13"/>
        <v>2.7522735947041999</v>
      </c>
      <c r="O84" s="2">
        <f t="shared" si="14"/>
        <v>2.2905494425474893</v>
      </c>
    </row>
    <row r="85" spans="1:15" x14ac:dyDescent="0.4">
      <c r="A85" s="1">
        <v>41943</v>
      </c>
      <c r="B85" s="38">
        <v>3.1840529257974701</v>
      </c>
      <c r="C85" s="38">
        <v>5.1514636710885</v>
      </c>
      <c r="D85" s="38">
        <v>1.27783931613883</v>
      </c>
      <c r="E85" s="38">
        <v>2.0287864781261802</v>
      </c>
      <c r="F85" s="38">
        <v>2.7049568701404301</v>
      </c>
      <c r="G85" s="38">
        <v>2.8911803973939199</v>
      </c>
      <c r="H85" s="38">
        <v>1.2690504541055401</v>
      </c>
      <c r="I85" s="2">
        <f t="shared" si="8"/>
        <v>3.1840529257974701</v>
      </c>
      <c r="J85" s="2">
        <f t="shared" si="9"/>
        <v>5.1514636710885</v>
      </c>
      <c r="K85" s="2">
        <f t="shared" si="10"/>
        <v>2.4090736738094916</v>
      </c>
      <c r="L85" s="2">
        <f t="shared" si="11"/>
        <v>2.0287864781261802</v>
      </c>
      <c r="M85" s="2">
        <f t="shared" si="12"/>
        <v>2.7049568701404301</v>
      </c>
      <c r="N85" s="2">
        <f t="shared" si="13"/>
        <v>2.8911803973939199</v>
      </c>
      <c r="O85" s="2">
        <f t="shared" si="14"/>
        <v>2.3465238755866396</v>
      </c>
    </row>
    <row r="86" spans="1:15" x14ac:dyDescent="0.4">
      <c r="A86" s="1">
        <v>41973</v>
      </c>
      <c r="B86" s="38">
        <v>3.3994671189436598</v>
      </c>
      <c r="C86" s="38">
        <v>5.2994711511858297</v>
      </c>
      <c r="D86" s="38">
        <v>1.3386706220481399</v>
      </c>
      <c r="E86" s="38">
        <v>2.08617495506377</v>
      </c>
      <c r="F86" s="38">
        <v>2.9811206362343801</v>
      </c>
      <c r="G86" s="38">
        <v>3.0827407287349202</v>
      </c>
      <c r="H86" s="38">
        <v>1.3519189995363401</v>
      </c>
      <c r="I86" s="2">
        <f t="shared" si="8"/>
        <v>3.3994671189436598</v>
      </c>
      <c r="J86" s="2">
        <f t="shared" si="9"/>
        <v>5.2994711511858297</v>
      </c>
      <c r="K86" s="2">
        <f t="shared" si="10"/>
        <v>2.5237571835111519</v>
      </c>
      <c r="L86" s="2">
        <f t="shared" si="11"/>
        <v>2.08617495506377</v>
      </c>
      <c r="M86" s="2">
        <f t="shared" si="12"/>
        <v>2.9811206362343801</v>
      </c>
      <c r="N86" s="2">
        <f t="shared" si="13"/>
        <v>3.0827407287349202</v>
      </c>
      <c r="O86" s="2">
        <f t="shared" si="14"/>
        <v>2.4997510540328771</v>
      </c>
    </row>
    <row r="87" spans="1:15" x14ac:dyDescent="0.4">
      <c r="A87" s="1">
        <v>42004</v>
      </c>
      <c r="B87" s="38">
        <v>3.3525164849954199</v>
      </c>
      <c r="C87" s="38">
        <v>5.5522055738919098</v>
      </c>
      <c r="D87" s="38">
        <v>1.6120135209058699</v>
      </c>
      <c r="E87" s="38">
        <v>2.2914015955853402</v>
      </c>
      <c r="F87" s="38">
        <v>3.49883355446946</v>
      </c>
      <c r="G87" s="38">
        <v>2.7949234983141298</v>
      </c>
      <c r="H87" s="38">
        <v>1.42439319637008</v>
      </c>
      <c r="I87" s="2">
        <f t="shared" si="8"/>
        <v>3.3525164849954199</v>
      </c>
      <c r="J87" s="2">
        <f t="shared" si="9"/>
        <v>5.5522055738919098</v>
      </c>
      <c r="K87" s="2">
        <f t="shared" si="10"/>
        <v>3.0390826812041536</v>
      </c>
      <c r="L87" s="2">
        <f t="shared" si="11"/>
        <v>2.2914015955853402</v>
      </c>
      <c r="M87" s="2">
        <f t="shared" si="12"/>
        <v>3.49883355446946</v>
      </c>
      <c r="N87" s="2">
        <f t="shared" si="13"/>
        <v>2.7949234983141298</v>
      </c>
      <c r="O87" s="2">
        <f t="shared" si="14"/>
        <v>2.6337586757820066</v>
      </c>
    </row>
    <row r="88" spans="1:15" x14ac:dyDescent="0.4">
      <c r="A88" s="1">
        <v>42035</v>
      </c>
      <c r="B88" s="38">
        <v>3.5641309029757799</v>
      </c>
      <c r="C88" s="38">
        <v>5.9997961801686204</v>
      </c>
      <c r="D88" s="38">
        <v>1.68630969315009</v>
      </c>
      <c r="E88" s="38">
        <v>2.45950206853276</v>
      </c>
      <c r="F88" s="38">
        <v>3.4569361885293</v>
      </c>
      <c r="G88" s="38">
        <v>2.9655614886021899</v>
      </c>
      <c r="H88" s="38">
        <v>1.49557914400041</v>
      </c>
      <c r="I88" s="2">
        <f t="shared" si="8"/>
        <v>3.5641309029757799</v>
      </c>
      <c r="J88" s="2">
        <f t="shared" si="9"/>
        <v>5.9997961801686204</v>
      </c>
      <c r="K88" s="2">
        <f t="shared" si="10"/>
        <v>3.1791511157544337</v>
      </c>
      <c r="L88" s="2">
        <f t="shared" si="11"/>
        <v>2.45950206853276</v>
      </c>
      <c r="M88" s="2">
        <f t="shared" si="12"/>
        <v>3.4569361885293</v>
      </c>
      <c r="N88" s="2">
        <f t="shared" si="13"/>
        <v>2.9655614886021899</v>
      </c>
      <c r="O88" s="2">
        <f t="shared" si="14"/>
        <v>2.765384274417928</v>
      </c>
    </row>
    <row r="89" spans="1:15" x14ac:dyDescent="0.4">
      <c r="A89" s="1">
        <v>42063</v>
      </c>
      <c r="B89" s="38">
        <v>3.7121597575429601</v>
      </c>
      <c r="C89" s="38">
        <v>6.2182973228480396</v>
      </c>
      <c r="D89" s="38">
        <v>1.7856472731117801</v>
      </c>
      <c r="E89" s="38">
        <v>2.56733553997138</v>
      </c>
      <c r="F89" s="38">
        <v>3.5057849955226801</v>
      </c>
      <c r="G89" s="38">
        <v>3.1168711676098599</v>
      </c>
      <c r="H89" s="38">
        <v>1.58236294043212</v>
      </c>
      <c r="I89" s="2">
        <f t="shared" si="8"/>
        <v>3.7121597575429601</v>
      </c>
      <c r="J89" s="2">
        <f t="shared" si="9"/>
        <v>6.2182973228480396</v>
      </c>
      <c r="K89" s="2">
        <f t="shared" si="10"/>
        <v>3.3664293953340336</v>
      </c>
      <c r="L89" s="2">
        <f t="shared" si="11"/>
        <v>2.56733553997138</v>
      </c>
      <c r="M89" s="2">
        <f t="shared" si="12"/>
        <v>3.5057849955226801</v>
      </c>
      <c r="N89" s="2">
        <f t="shared" si="13"/>
        <v>3.1168711676098599</v>
      </c>
      <c r="O89" s="2">
        <f t="shared" si="14"/>
        <v>2.9258509049464907</v>
      </c>
    </row>
    <row r="90" spans="1:15" x14ac:dyDescent="0.4">
      <c r="A90" s="1">
        <v>42094</v>
      </c>
      <c r="B90" s="38">
        <v>4.4792107029905397</v>
      </c>
      <c r="C90" s="38">
        <v>7.5186692412702101</v>
      </c>
      <c r="D90" s="38">
        <v>1.9667180264671</v>
      </c>
      <c r="E90" s="38">
        <v>2.87365355915728</v>
      </c>
      <c r="F90" s="38">
        <v>4.0719107597495396</v>
      </c>
      <c r="G90" s="38">
        <v>3.83952775925236</v>
      </c>
      <c r="H90" s="38">
        <v>1.8869032728959501</v>
      </c>
      <c r="I90" s="2">
        <f t="shared" si="8"/>
        <v>4.4792107029905397</v>
      </c>
      <c r="J90" s="2">
        <f t="shared" si="9"/>
        <v>7.5186692412702101</v>
      </c>
      <c r="K90" s="2">
        <f t="shared" si="10"/>
        <v>3.7077968736201385</v>
      </c>
      <c r="L90" s="2">
        <f t="shared" si="11"/>
        <v>2.87365355915728</v>
      </c>
      <c r="M90" s="2">
        <f t="shared" si="12"/>
        <v>4.0719107597495396</v>
      </c>
      <c r="N90" s="2">
        <f t="shared" si="13"/>
        <v>3.83952775925236</v>
      </c>
      <c r="O90" s="2">
        <f t="shared" si="14"/>
        <v>3.4889578790574189</v>
      </c>
    </row>
    <row r="91" spans="1:15" x14ac:dyDescent="0.4">
      <c r="A91" s="1">
        <v>42124</v>
      </c>
      <c r="B91" s="38">
        <v>5.6479555290295602</v>
      </c>
      <c r="C91" s="38">
        <v>8.6656243577715504</v>
      </c>
      <c r="D91" s="38">
        <v>2.2947147269107901</v>
      </c>
      <c r="E91" s="38">
        <v>3.3666330736885501</v>
      </c>
      <c r="F91" s="38">
        <v>5.02338633206059</v>
      </c>
      <c r="G91" s="38">
        <v>4.46025560860258</v>
      </c>
      <c r="H91" s="38">
        <v>2.24654969705754</v>
      </c>
      <c r="I91" s="2">
        <f t="shared" si="8"/>
        <v>5.6479555290295602</v>
      </c>
      <c r="J91" s="2">
        <f t="shared" si="9"/>
        <v>8.6656243577715504</v>
      </c>
      <c r="K91" s="2">
        <f t="shared" si="10"/>
        <v>4.326159609963919</v>
      </c>
      <c r="L91" s="2">
        <f t="shared" si="11"/>
        <v>3.3666330736885501</v>
      </c>
      <c r="M91" s="2">
        <f t="shared" si="12"/>
        <v>5.02338633206059</v>
      </c>
      <c r="N91" s="2">
        <f t="shared" si="13"/>
        <v>4.46025560860258</v>
      </c>
      <c r="O91" s="2">
        <f t="shared" si="14"/>
        <v>4.1539581698924639</v>
      </c>
    </row>
    <row r="92" spans="1:15" x14ac:dyDescent="0.4">
      <c r="A92" s="1">
        <v>42155</v>
      </c>
      <c r="B92" s="38">
        <v>7.1291488781096799</v>
      </c>
      <c r="C92" s="38">
        <v>12.049052963647799</v>
      </c>
      <c r="D92" s="38">
        <v>3.0981030474672999</v>
      </c>
      <c r="E92" s="38">
        <v>4.54530406894634</v>
      </c>
      <c r="F92" s="38">
        <v>5.39091640909737</v>
      </c>
      <c r="G92" s="38">
        <v>5.7089369161982502</v>
      </c>
      <c r="H92" s="38">
        <v>2.7073274382041799</v>
      </c>
      <c r="I92" s="2">
        <f t="shared" si="8"/>
        <v>7.1291488781096799</v>
      </c>
      <c r="J92" s="2">
        <f t="shared" si="9"/>
        <v>12.049052963647799</v>
      </c>
      <c r="K92" s="2">
        <f t="shared" si="10"/>
        <v>5.8407644812139718</v>
      </c>
      <c r="L92" s="2">
        <f t="shared" si="11"/>
        <v>4.54530406894634</v>
      </c>
      <c r="M92" s="2">
        <f t="shared" si="12"/>
        <v>5.39091640909737</v>
      </c>
      <c r="N92" s="2">
        <f t="shared" si="13"/>
        <v>5.7089369161982502</v>
      </c>
      <c r="O92" s="2">
        <f t="shared" si="14"/>
        <v>5.0059542173636791</v>
      </c>
    </row>
    <row r="93" spans="1:15" x14ac:dyDescent="0.4">
      <c r="A93" s="1">
        <v>42185</v>
      </c>
      <c r="B93" s="38">
        <v>6.06018360090171</v>
      </c>
      <c r="C93" s="38">
        <v>10.573412483689401</v>
      </c>
      <c r="D93" s="38">
        <v>3.1816312884054798</v>
      </c>
      <c r="E93" s="38">
        <v>4.6678504296035799</v>
      </c>
      <c r="F93" s="38">
        <v>5.4253245931681402</v>
      </c>
      <c r="G93" s="38">
        <v>5.4109280366358998</v>
      </c>
      <c r="H93" s="38">
        <v>2.4531466900514598</v>
      </c>
      <c r="I93" s="2">
        <f t="shared" si="8"/>
        <v>6.06018360090171</v>
      </c>
      <c r="J93" s="2">
        <f t="shared" si="9"/>
        <v>10.573412483689401</v>
      </c>
      <c r="K93" s="2">
        <f t="shared" si="10"/>
        <v>5.9982378690823444</v>
      </c>
      <c r="L93" s="2">
        <f t="shared" si="11"/>
        <v>4.6678504296035799</v>
      </c>
      <c r="M93" s="2">
        <f t="shared" si="12"/>
        <v>5.4253245931681402</v>
      </c>
      <c r="N93" s="2">
        <f t="shared" si="13"/>
        <v>5.4109280366358998</v>
      </c>
      <c r="O93" s="2">
        <f t="shared" si="14"/>
        <v>4.5359640823574088</v>
      </c>
    </row>
    <row r="94" spans="1:15" x14ac:dyDescent="0.4">
      <c r="A94" s="1">
        <v>42216</v>
      </c>
      <c r="B94" s="38">
        <v>5.1490867244841896</v>
      </c>
      <c r="C94" s="38">
        <v>9.2826347839677901</v>
      </c>
      <c r="D94" s="38">
        <v>2.6554856901530401</v>
      </c>
      <c r="E94" s="38">
        <v>4.3054172570655904</v>
      </c>
      <c r="F94" s="38">
        <v>4.32088499841685</v>
      </c>
      <c r="G94" s="38">
        <v>4.6834624057721603</v>
      </c>
      <c r="H94" s="38">
        <v>2.0754150140799701</v>
      </c>
      <c r="I94" s="2">
        <f t="shared" si="8"/>
        <v>5.1490867244841896</v>
      </c>
      <c r="J94" s="2">
        <f t="shared" si="9"/>
        <v>9.2826347839677901</v>
      </c>
      <c r="K94" s="2">
        <f t="shared" si="10"/>
        <v>5.0063107203930262</v>
      </c>
      <c r="L94" s="2">
        <f t="shared" si="11"/>
        <v>4.3054172570655904</v>
      </c>
      <c r="M94" s="2">
        <f t="shared" si="12"/>
        <v>4.32088499841685</v>
      </c>
      <c r="N94" s="2">
        <f t="shared" si="13"/>
        <v>4.6834624057721603</v>
      </c>
      <c r="O94" s="2">
        <f t="shared" si="14"/>
        <v>3.8375234542760102</v>
      </c>
    </row>
    <row r="95" spans="1:15" x14ac:dyDescent="0.4">
      <c r="A95" s="1">
        <v>42247</v>
      </c>
      <c r="B95" s="38">
        <v>4.4980786556275802</v>
      </c>
      <c r="C95" s="38">
        <v>8.15060908207845</v>
      </c>
      <c r="D95" s="38">
        <v>2.30333287839172</v>
      </c>
      <c r="E95" s="38">
        <v>3.74675901016123</v>
      </c>
      <c r="F95" s="38">
        <v>3.99639424826881</v>
      </c>
      <c r="G95" s="38">
        <v>3.9356582033864802</v>
      </c>
      <c r="H95" s="38">
        <v>1.7635668732833101</v>
      </c>
      <c r="I95" s="2">
        <f t="shared" si="8"/>
        <v>4.4980786556275802</v>
      </c>
      <c r="J95" s="2">
        <f t="shared" si="9"/>
        <v>8.15060908207845</v>
      </c>
      <c r="K95" s="2">
        <f t="shared" si="10"/>
        <v>4.3424071628349203</v>
      </c>
      <c r="L95" s="2">
        <f t="shared" si="11"/>
        <v>3.74675901016123</v>
      </c>
      <c r="M95" s="2">
        <f t="shared" si="12"/>
        <v>3.99639424826881</v>
      </c>
      <c r="N95" s="2">
        <f t="shared" si="13"/>
        <v>3.9356582033864802</v>
      </c>
      <c r="O95" s="2">
        <f t="shared" si="14"/>
        <v>3.260904057017743</v>
      </c>
    </row>
    <row r="96" spans="1:15" x14ac:dyDescent="0.4">
      <c r="A96" s="1">
        <v>42277</v>
      </c>
      <c r="B96" s="38">
        <v>3.8535035032006402</v>
      </c>
      <c r="C96" s="38">
        <v>8.2260292609191801</v>
      </c>
      <c r="D96" s="38">
        <v>2.0930814373834301</v>
      </c>
      <c r="E96" s="38">
        <v>3.5030328724225401</v>
      </c>
      <c r="F96" s="38">
        <v>3.6172953403461801</v>
      </c>
      <c r="G96" s="38">
        <v>3.6955056331901401</v>
      </c>
      <c r="H96" s="38">
        <v>1.6462317496964001</v>
      </c>
      <c r="I96" s="2">
        <f t="shared" si="8"/>
        <v>3.8535035032006402</v>
      </c>
      <c r="J96" s="2">
        <f t="shared" si="9"/>
        <v>8.2260292609191801</v>
      </c>
      <c r="K96" s="2">
        <f t="shared" si="10"/>
        <v>3.9460261742266853</v>
      </c>
      <c r="L96" s="2">
        <f t="shared" si="11"/>
        <v>3.5030328724225401</v>
      </c>
      <c r="M96" s="2">
        <f t="shared" si="12"/>
        <v>3.6172953403461801</v>
      </c>
      <c r="N96" s="2">
        <f t="shared" si="13"/>
        <v>3.6955056331901401</v>
      </c>
      <c r="O96" s="2">
        <f t="shared" si="14"/>
        <v>3.0439468288390943</v>
      </c>
    </row>
    <row r="97" spans="1:15" x14ac:dyDescent="0.4">
      <c r="A97" s="1">
        <v>42308</v>
      </c>
      <c r="B97" s="38">
        <v>4.4933645222510403</v>
      </c>
      <c r="C97" s="38">
        <v>9.8555871463825699</v>
      </c>
      <c r="D97" s="38">
        <v>2.40794273035418</v>
      </c>
      <c r="E97" s="38">
        <v>3.9356029282195899</v>
      </c>
      <c r="F97" s="38">
        <v>3.9882198991832198</v>
      </c>
      <c r="G97" s="38">
        <v>4.6071371953965201</v>
      </c>
      <c r="H97" s="38">
        <v>1.94951363180159</v>
      </c>
      <c r="I97" s="2">
        <f t="shared" si="8"/>
        <v>4.4933645222510403</v>
      </c>
      <c r="J97" s="2">
        <f t="shared" si="9"/>
        <v>9.8555871463825699</v>
      </c>
      <c r="K97" s="2">
        <f t="shared" si="10"/>
        <v>4.53962510502922</v>
      </c>
      <c r="L97" s="2">
        <f t="shared" si="11"/>
        <v>3.9356029282195899</v>
      </c>
      <c r="M97" s="2">
        <f t="shared" si="12"/>
        <v>3.9882198991832198</v>
      </c>
      <c r="N97" s="2">
        <f t="shared" si="13"/>
        <v>4.6071371953965201</v>
      </c>
      <c r="O97" s="2">
        <f t="shared" si="14"/>
        <v>3.6047268790651321</v>
      </c>
    </row>
    <row r="98" spans="1:15" x14ac:dyDescent="0.4">
      <c r="A98" s="1">
        <v>42338</v>
      </c>
      <c r="B98" s="38">
        <v>4.8146084907979603</v>
      </c>
      <c r="C98" s="38">
        <v>10.365018300173601</v>
      </c>
      <c r="D98" s="38">
        <v>2.6284684126565998</v>
      </c>
      <c r="E98" s="38">
        <v>4.2708019927457599</v>
      </c>
      <c r="F98" s="38">
        <v>3.9773749944644101</v>
      </c>
      <c r="G98" s="38">
        <v>5.3726714934323399</v>
      </c>
      <c r="H98" s="38">
        <v>2.0766550396658698</v>
      </c>
      <c r="I98" s="2">
        <f t="shared" si="8"/>
        <v>4.8146084907979603</v>
      </c>
      <c r="J98" s="2">
        <f t="shared" si="9"/>
        <v>10.365018300173601</v>
      </c>
      <c r="K98" s="2">
        <f t="shared" si="10"/>
        <v>4.9553758249545696</v>
      </c>
      <c r="L98" s="2">
        <f t="shared" si="11"/>
        <v>4.2708019927457599</v>
      </c>
      <c r="M98" s="2">
        <f t="shared" si="12"/>
        <v>3.9773749944644101</v>
      </c>
      <c r="N98" s="2">
        <f t="shared" si="13"/>
        <v>5.3726714934323399</v>
      </c>
      <c r="O98" s="2">
        <f t="shared" si="14"/>
        <v>3.8398163100361882</v>
      </c>
    </row>
    <row r="99" spans="1:15" x14ac:dyDescent="0.4">
      <c r="A99" s="1">
        <v>42369</v>
      </c>
      <c r="B99" s="38">
        <v>5.0892587527582602</v>
      </c>
      <c r="C99" s="38">
        <v>11.3742274206997</v>
      </c>
      <c r="D99" s="38">
        <v>2.8120489188712998</v>
      </c>
      <c r="E99" s="38">
        <v>4.5912490269526902</v>
      </c>
      <c r="F99" s="38">
        <v>4.2013956204364202</v>
      </c>
      <c r="G99" s="38">
        <v>5.7647963787649301</v>
      </c>
      <c r="H99" s="38">
        <v>2.1877461909859299</v>
      </c>
      <c r="I99" s="2">
        <f t="shared" si="8"/>
        <v>5.0892587527582602</v>
      </c>
      <c r="J99" s="2">
        <f t="shared" si="9"/>
        <v>11.3742274206997</v>
      </c>
      <c r="K99" s="2">
        <f t="shared" si="10"/>
        <v>5.3014748680508497</v>
      </c>
      <c r="L99" s="2">
        <f t="shared" si="11"/>
        <v>4.5912490269526902</v>
      </c>
      <c r="M99" s="2">
        <f t="shared" si="12"/>
        <v>4.2013956204364202</v>
      </c>
      <c r="N99" s="2">
        <f t="shared" si="13"/>
        <v>5.7647963787649301</v>
      </c>
      <c r="O99" s="2">
        <f t="shared" si="14"/>
        <v>4.045228189521044</v>
      </c>
    </row>
    <row r="100" spans="1:15" x14ac:dyDescent="0.4">
      <c r="A100" s="1">
        <v>42400</v>
      </c>
      <c r="B100" s="38">
        <v>3.3229082103516001</v>
      </c>
      <c r="C100" s="38">
        <v>8.5226324715854904</v>
      </c>
      <c r="D100" s="38">
        <v>2.1841450028396099</v>
      </c>
      <c r="E100" s="38">
        <v>3.4398055864421102</v>
      </c>
      <c r="F100" s="38">
        <v>3.0993554454507102</v>
      </c>
      <c r="G100" s="38">
        <v>3.8729437266172901</v>
      </c>
      <c r="H100" s="38">
        <v>1.57280935743241</v>
      </c>
      <c r="I100" s="2">
        <f t="shared" si="8"/>
        <v>3.3229082103516001</v>
      </c>
      <c r="J100" s="2">
        <f t="shared" si="9"/>
        <v>8.5226324715854904</v>
      </c>
      <c r="K100" s="2">
        <f t="shared" si="10"/>
        <v>4.1177056924673625</v>
      </c>
      <c r="L100" s="2">
        <f t="shared" si="11"/>
        <v>3.4398055864421102</v>
      </c>
      <c r="M100" s="2">
        <f t="shared" si="12"/>
        <v>3.0993554454507102</v>
      </c>
      <c r="N100" s="2">
        <f t="shared" si="13"/>
        <v>3.8729437266172901</v>
      </c>
      <c r="O100" s="2">
        <f t="shared" si="14"/>
        <v>2.9081859566903403</v>
      </c>
    </row>
    <row r="101" spans="1:15" x14ac:dyDescent="0.4">
      <c r="A101" s="1">
        <v>42429</v>
      </c>
      <c r="B101" s="38">
        <v>3.0433201110892898</v>
      </c>
      <c r="C101" s="38">
        <v>8.1950691844872399</v>
      </c>
      <c r="D101" s="38">
        <v>2.0734180770625499</v>
      </c>
      <c r="E101" s="38">
        <v>3.3645343568127601</v>
      </c>
      <c r="F101" s="38">
        <v>3.06348510570156</v>
      </c>
      <c r="G101" s="38">
        <v>4.0341107230315298</v>
      </c>
      <c r="H101" s="38">
        <v>1.5490313188626099</v>
      </c>
      <c r="I101" s="2">
        <f t="shared" si="8"/>
        <v>3.0433201110892898</v>
      </c>
      <c r="J101" s="2">
        <f t="shared" si="9"/>
        <v>8.1950691844872399</v>
      </c>
      <c r="K101" s="2">
        <f t="shared" si="10"/>
        <v>3.908955407120537</v>
      </c>
      <c r="L101" s="2">
        <f t="shared" si="11"/>
        <v>3.3645343568127601</v>
      </c>
      <c r="M101" s="2">
        <f t="shared" si="12"/>
        <v>3.06348510570156</v>
      </c>
      <c r="N101" s="2">
        <f t="shared" si="13"/>
        <v>4.0341107230315298</v>
      </c>
      <c r="O101" s="2">
        <f t="shared" si="14"/>
        <v>2.8642194342891627</v>
      </c>
    </row>
    <row r="102" spans="1:15" x14ac:dyDescent="0.4">
      <c r="A102" s="1">
        <v>42460</v>
      </c>
      <c r="B102" s="38">
        <v>3.7223426888491402</v>
      </c>
      <c r="C102" s="38">
        <v>9.6165160923144892</v>
      </c>
      <c r="D102" s="38">
        <v>2.4735029745556298</v>
      </c>
      <c r="E102" s="38">
        <v>3.9616272587297399</v>
      </c>
      <c r="F102" s="38">
        <v>3.48575562928343</v>
      </c>
      <c r="G102" s="38">
        <v>4.7947342146720304</v>
      </c>
      <c r="H102" s="38">
        <v>1.8113660212991001</v>
      </c>
      <c r="I102" s="2">
        <f t="shared" si="8"/>
        <v>3.7223426888491402</v>
      </c>
      <c r="J102" s="2">
        <f t="shared" si="9"/>
        <v>9.6165160923144892</v>
      </c>
      <c r="K102" s="2">
        <f t="shared" si="10"/>
        <v>4.6632239459472391</v>
      </c>
      <c r="L102" s="2">
        <f t="shared" si="11"/>
        <v>3.9616272587297399</v>
      </c>
      <c r="M102" s="2">
        <f t="shared" si="12"/>
        <v>3.48575562928343</v>
      </c>
      <c r="N102" s="2">
        <f t="shared" si="13"/>
        <v>4.7947342146720304</v>
      </c>
      <c r="O102" s="2">
        <f t="shared" si="14"/>
        <v>3.3492865493677462</v>
      </c>
    </row>
    <row r="103" spans="1:15" x14ac:dyDescent="0.4">
      <c r="A103" s="1">
        <v>42490</v>
      </c>
      <c r="B103" s="38">
        <v>3.5784758076825902</v>
      </c>
      <c r="C103" s="38">
        <v>9.4847261062705801</v>
      </c>
      <c r="D103" s="38">
        <v>2.4846292112507302</v>
      </c>
      <c r="E103" s="38">
        <v>4.0013484010070499</v>
      </c>
      <c r="F103" s="38">
        <v>3.3961043337858099</v>
      </c>
      <c r="G103" s="38">
        <v>4.8414954701760102</v>
      </c>
      <c r="H103" s="38">
        <v>1.79734670580374</v>
      </c>
      <c r="I103" s="2">
        <f t="shared" si="8"/>
        <v>3.5784758076825902</v>
      </c>
      <c r="J103" s="2">
        <f t="shared" si="9"/>
        <v>9.4847261062705801</v>
      </c>
      <c r="K103" s="2">
        <f t="shared" si="10"/>
        <v>4.6841999196649136</v>
      </c>
      <c r="L103" s="2">
        <f t="shared" si="11"/>
        <v>4.0013484010070499</v>
      </c>
      <c r="M103" s="2">
        <f t="shared" si="12"/>
        <v>3.3961043337858099</v>
      </c>
      <c r="N103" s="2">
        <f t="shared" si="13"/>
        <v>4.8414954701760102</v>
      </c>
      <c r="O103" s="2">
        <f t="shared" si="14"/>
        <v>3.3233642872363873</v>
      </c>
    </row>
    <row r="104" spans="1:15" x14ac:dyDescent="0.4">
      <c r="A104" s="1">
        <v>42521</v>
      </c>
      <c r="B104" s="38">
        <v>3.6998158647491701</v>
      </c>
      <c r="C104" s="38">
        <v>9.4154196457399806</v>
      </c>
      <c r="D104" s="38">
        <v>2.59212242662722</v>
      </c>
      <c r="E104" s="38">
        <v>4.1282620369779801</v>
      </c>
      <c r="F104" s="38">
        <v>3.31001258144371</v>
      </c>
      <c r="G104" s="38">
        <v>4.5773484587113602</v>
      </c>
      <c r="H104" s="38">
        <v>1.76853310479076</v>
      </c>
      <c r="I104" s="2">
        <f t="shared" si="8"/>
        <v>3.6998158647491701</v>
      </c>
      <c r="J104" s="2">
        <f t="shared" si="9"/>
        <v>9.4154196457399806</v>
      </c>
      <c r="K104" s="2">
        <f t="shared" si="10"/>
        <v>4.8868537838918469</v>
      </c>
      <c r="L104" s="2">
        <f t="shared" si="11"/>
        <v>4.1282620369779801</v>
      </c>
      <c r="M104" s="2">
        <f t="shared" si="12"/>
        <v>3.31001258144371</v>
      </c>
      <c r="N104" s="2">
        <f t="shared" si="13"/>
        <v>4.5773484587113602</v>
      </c>
      <c r="O104" s="2">
        <f t="shared" si="14"/>
        <v>3.270086813121901</v>
      </c>
    </row>
    <row r="105" spans="1:15" x14ac:dyDescent="0.4">
      <c r="A105" s="1">
        <v>42551</v>
      </c>
      <c r="B105" s="38">
        <v>3.9505282538581499</v>
      </c>
      <c r="C105" s="38">
        <v>10.3106575616833</v>
      </c>
      <c r="D105" s="38">
        <v>2.8118747358087699</v>
      </c>
      <c r="E105" s="38">
        <v>4.55640998046922</v>
      </c>
      <c r="F105" s="38">
        <v>3.3302937330493698</v>
      </c>
      <c r="G105" s="38">
        <v>4.87369612186398</v>
      </c>
      <c r="H105" s="38">
        <v>1.8440912243102501</v>
      </c>
      <c r="I105" s="2">
        <f t="shared" si="8"/>
        <v>3.9505282538581499</v>
      </c>
      <c r="J105" s="2">
        <f t="shared" si="9"/>
        <v>10.3106575616833</v>
      </c>
      <c r="K105" s="2">
        <f t="shared" si="10"/>
        <v>5.3011464857377799</v>
      </c>
      <c r="L105" s="2">
        <f t="shared" si="11"/>
        <v>4.55640998046922</v>
      </c>
      <c r="M105" s="2">
        <f t="shared" si="12"/>
        <v>3.3302937330493698</v>
      </c>
      <c r="N105" s="2">
        <f t="shared" si="13"/>
        <v>4.87369612186398</v>
      </c>
      <c r="O105" s="2">
        <f t="shared" si="14"/>
        <v>3.409796728415913</v>
      </c>
    </row>
    <row r="106" spans="1:15" x14ac:dyDescent="0.4">
      <c r="A106" s="1">
        <v>42582</v>
      </c>
      <c r="B106" s="38">
        <v>3.9209628408057799</v>
      </c>
      <c r="C106" s="38">
        <v>10.2975815099066</v>
      </c>
      <c r="D106" s="38">
        <v>2.9654538764522198</v>
      </c>
      <c r="E106" s="38">
        <v>4.7871349692313103</v>
      </c>
      <c r="F106" s="38">
        <v>3.4265980469256898</v>
      </c>
      <c r="G106" s="38">
        <v>4.6730948734953497</v>
      </c>
      <c r="H106" s="38">
        <v>1.87542645580032</v>
      </c>
      <c r="I106" s="2">
        <f t="shared" si="8"/>
        <v>3.9209628408057799</v>
      </c>
      <c r="J106" s="2">
        <f t="shared" si="9"/>
        <v>10.2975815099066</v>
      </c>
      <c r="K106" s="2">
        <f t="shared" si="10"/>
        <v>5.5906848180598576</v>
      </c>
      <c r="L106" s="2">
        <f t="shared" si="11"/>
        <v>4.7871349692313103</v>
      </c>
      <c r="M106" s="2">
        <f t="shared" si="12"/>
        <v>3.4265980469256898</v>
      </c>
      <c r="N106" s="2">
        <f t="shared" si="13"/>
        <v>4.6730948734953497</v>
      </c>
      <c r="O106" s="2">
        <f t="shared" si="14"/>
        <v>3.4677367958108758</v>
      </c>
    </row>
    <row r="107" spans="1:15" x14ac:dyDescent="0.4">
      <c r="A107" s="1">
        <v>42613</v>
      </c>
      <c r="B107" s="38">
        <v>4.0192003580673603</v>
      </c>
      <c r="C107" s="38">
        <v>10.927335870982599</v>
      </c>
      <c r="D107" s="38">
        <v>2.88363081693729</v>
      </c>
      <c r="E107" s="38">
        <v>4.7383627354398401</v>
      </c>
      <c r="F107" s="38">
        <v>3.5815700302426401</v>
      </c>
      <c r="G107" s="38">
        <v>4.9644030774339098</v>
      </c>
      <c r="H107" s="38">
        <v>1.94854990081165</v>
      </c>
      <c r="I107" s="2">
        <f t="shared" si="8"/>
        <v>4.0192003580673603</v>
      </c>
      <c r="J107" s="2">
        <f t="shared" si="9"/>
        <v>10.927335870982599</v>
      </c>
      <c r="K107" s="2">
        <f t="shared" si="10"/>
        <v>5.4364261596366816</v>
      </c>
      <c r="L107" s="2">
        <f t="shared" si="11"/>
        <v>4.7383627354398401</v>
      </c>
      <c r="M107" s="2">
        <f t="shared" si="12"/>
        <v>3.5815700302426401</v>
      </c>
      <c r="N107" s="2">
        <f t="shared" si="13"/>
        <v>4.9644030774339098</v>
      </c>
      <c r="O107" s="2">
        <f t="shared" si="14"/>
        <v>3.6029449028086162</v>
      </c>
    </row>
    <row r="108" spans="1:15" x14ac:dyDescent="0.4">
      <c r="A108" s="1">
        <v>42643</v>
      </c>
      <c r="B108" s="38">
        <v>3.9152812248284699</v>
      </c>
      <c r="C108" s="38">
        <v>10.6007908552714</v>
      </c>
      <c r="D108" s="38">
        <v>2.8705058285541099</v>
      </c>
      <c r="E108" s="38">
        <v>4.6922547042081604</v>
      </c>
      <c r="F108" s="38">
        <v>3.5568809299838402</v>
      </c>
      <c r="G108" s="38">
        <v>4.9874557773123396</v>
      </c>
      <c r="H108" s="38">
        <v>1.9204287453144699</v>
      </c>
      <c r="I108" s="2">
        <f t="shared" si="8"/>
        <v>3.9152812248284699</v>
      </c>
      <c r="J108" s="2">
        <f t="shared" si="9"/>
        <v>10.6007908552714</v>
      </c>
      <c r="K108" s="2">
        <f t="shared" si="10"/>
        <v>5.4116819969053953</v>
      </c>
      <c r="L108" s="2">
        <f t="shared" si="11"/>
        <v>4.6922547042081604</v>
      </c>
      <c r="M108" s="2">
        <f t="shared" si="12"/>
        <v>3.5568809299838402</v>
      </c>
      <c r="N108" s="2">
        <f t="shared" si="13"/>
        <v>4.9874557773123396</v>
      </c>
      <c r="O108" s="2">
        <f t="shared" si="14"/>
        <v>3.5509477875089517</v>
      </c>
    </row>
    <row r="109" spans="1:15" x14ac:dyDescent="0.4">
      <c r="A109" s="1">
        <v>42674</v>
      </c>
      <c r="B109" s="38">
        <v>4.0531520833930799</v>
      </c>
      <c r="C109" s="38">
        <v>10.928454369053901</v>
      </c>
      <c r="D109" s="38">
        <v>3.1119969502051399</v>
      </c>
      <c r="E109" s="38">
        <v>4.9590252392245997</v>
      </c>
      <c r="F109" s="38">
        <v>3.7011718794533599</v>
      </c>
      <c r="G109" s="38">
        <v>5.1128855657443602</v>
      </c>
      <c r="H109" s="38">
        <v>1.9882056820286</v>
      </c>
      <c r="I109" s="2">
        <f t="shared" si="8"/>
        <v>4.0531520833930799</v>
      </c>
      <c r="J109" s="2">
        <f t="shared" si="9"/>
        <v>10.928454369053901</v>
      </c>
      <c r="K109" s="2">
        <f t="shared" si="10"/>
        <v>5.866958256041106</v>
      </c>
      <c r="L109" s="2">
        <f t="shared" si="11"/>
        <v>4.9590252392245997</v>
      </c>
      <c r="M109" s="2">
        <f t="shared" si="12"/>
        <v>3.7011718794533599</v>
      </c>
      <c r="N109" s="2">
        <f t="shared" si="13"/>
        <v>5.1128855657443602</v>
      </c>
      <c r="O109" s="2">
        <f t="shared" si="14"/>
        <v>3.67626999175963</v>
      </c>
    </row>
    <row r="110" spans="1:15" x14ac:dyDescent="0.4">
      <c r="A110" s="1">
        <v>42704</v>
      </c>
      <c r="B110" s="38">
        <v>4.1662473635349597</v>
      </c>
      <c r="C110" s="38">
        <v>11.1009203701428</v>
      </c>
      <c r="D110" s="38">
        <v>3.2379707040475698</v>
      </c>
      <c r="E110" s="38">
        <v>5.2807671687077198</v>
      </c>
      <c r="F110" s="38">
        <v>3.9055666215918401</v>
      </c>
      <c r="G110" s="38">
        <v>5.1937460625970804</v>
      </c>
      <c r="H110" s="38">
        <v>2.0555313077453499</v>
      </c>
      <c r="I110" s="2">
        <f t="shared" si="8"/>
        <v>4.1662473635349597</v>
      </c>
      <c r="J110" s="2">
        <f t="shared" si="9"/>
        <v>11.1009203701428</v>
      </c>
      <c r="K110" s="2">
        <f t="shared" si="10"/>
        <v>6.1044529473844298</v>
      </c>
      <c r="L110" s="2">
        <f t="shared" si="11"/>
        <v>5.2807671687077198</v>
      </c>
      <c r="M110" s="2">
        <f t="shared" si="12"/>
        <v>3.9055666215918401</v>
      </c>
      <c r="N110" s="2">
        <f t="shared" si="13"/>
        <v>5.1937460625970804</v>
      </c>
      <c r="O110" s="2">
        <f t="shared" si="14"/>
        <v>3.800757704341958</v>
      </c>
    </row>
    <row r="111" spans="1:15" x14ac:dyDescent="0.4">
      <c r="A111" s="1">
        <v>42735</v>
      </c>
      <c r="B111" s="38">
        <v>3.77712512115369</v>
      </c>
      <c r="C111" s="38">
        <v>10.7581613977878</v>
      </c>
      <c r="D111" s="38">
        <v>3.09607322838349</v>
      </c>
      <c r="E111" s="38">
        <v>4.9957740456314204</v>
      </c>
      <c r="F111" s="38">
        <v>3.8067054020351798</v>
      </c>
      <c r="G111" s="38">
        <v>5.2141652039752797</v>
      </c>
      <c r="H111" s="38">
        <v>1.96241205086816</v>
      </c>
      <c r="I111" s="2">
        <f t="shared" si="8"/>
        <v>3.77712512115369</v>
      </c>
      <c r="J111" s="2">
        <f t="shared" si="9"/>
        <v>10.7581613977878</v>
      </c>
      <c r="K111" s="2">
        <f t="shared" si="10"/>
        <v>5.8369377217336185</v>
      </c>
      <c r="L111" s="2">
        <f t="shared" si="11"/>
        <v>4.9957740456314204</v>
      </c>
      <c r="M111" s="2">
        <f t="shared" si="12"/>
        <v>3.8067054020351798</v>
      </c>
      <c r="N111" s="2">
        <f t="shared" si="13"/>
        <v>5.2141652039752797</v>
      </c>
      <c r="O111" s="2">
        <f t="shared" si="14"/>
        <v>3.6285765599025743</v>
      </c>
    </row>
    <row r="112" spans="1:15" x14ac:dyDescent="0.4">
      <c r="A112" s="1">
        <v>42766</v>
      </c>
      <c r="B112" s="38">
        <v>3.8556930258409698</v>
      </c>
      <c r="C112" s="38">
        <v>10.5532791499061</v>
      </c>
      <c r="D112" s="38">
        <v>3.1650555971049799</v>
      </c>
      <c r="E112" s="38">
        <v>5.0552634729226797</v>
      </c>
      <c r="F112" s="38">
        <v>3.9373348061612701</v>
      </c>
      <c r="G112" s="38">
        <v>5.1489286454570404</v>
      </c>
      <c r="H112" s="38">
        <v>1.9749090493431001</v>
      </c>
      <c r="I112" s="2">
        <f t="shared" si="8"/>
        <v>3.8556930258409698</v>
      </c>
      <c r="J112" s="2">
        <f t="shared" si="9"/>
        <v>10.5532791499061</v>
      </c>
      <c r="K112" s="2">
        <f t="shared" si="10"/>
        <v>5.9669881954865369</v>
      </c>
      <c r="L112" s="2">
        <f t="shared" si="11"/>
        <v>5.0552634729226797</v>
      </c>
      <c r="M112" s="2">
        <f t="shared" si="12"/>
        <v>3.9373348061612701</v>
      </c>
      <c r="N112" s="2">
        <f t="shared" si="13"/>
        <v>5.1489286454570404</v>
      </c>
      <c r="O112" s="2">
        <f t="shared" si="14"/>
        <v>3.6516839983812797</v>
      </c>
    </row>
    <row r="113" spans="1:15" x14ac:dyDescent="0.4">
      <c r="A113" s="1">
        <v>42794</v>
      </c>
      <c r="B113" s="38">
        <v>4.0341259597491996</v>
      </c>
      <c r="C113" s="38">
        <v>10.878085066059</v>
      </c>
      <c r="D113" s="38">
        <v>3.2598782839209499</v>
      </c>
      <c r="E113" s="38">
        <v>5.3038810377964296</v>
      </c>
      <c r="F113" s="38">
        <v>4.0636186561246097</v>
      </c>
      <c r="G113" s="38">
        <v>5.2763017085649997</v>
      </c>
      <c r="H113" s="38">
        <v>2.0526441296423799</v>
      </c>
      <c r="I113" s="2">
        <f t="shared" si="8"/>
        <v>4.0341259597491996</v>
      </c>
      <c r="J113" s="2">
        <f t="shared" si="9"/>
        <v>10.878085066059</v>
      </c>
      <c r="K113" s="2">
        <f t="shared" si="10"/>
        <v>6.1457546770019782</v>
      </c>
      <c r="L113" s="2">
        <f t="shared" si="11"/>
        <v>5.3038810377964296</v>
      </c>
      <c r="M113" s="2">
        <f t="shared" si="12"/>
        <v>4.0636186561246097</v>
      </c>
      <c r="N113" s="2">
        <f t="shared" si="13"/>
        <v>5.2763017085649997</v>
      </c>
      <c r="O113" s="2">
        <f t="shared" si="14"/>
        <v>3.7954191992180895</v>
      </c>
    </row>
    <row r="114" spans="1:15" x14ac:dyDescent="0.4">
      <c r="A114" s="1">
        <v>42825</v>
      </c>
      <c r="B114" s="38">
        <v>3.8798099073608201</v>
      </c>
      <c r="C114" s="38">
        <v>10.9421768261121</v>
      </c>
      <c r="D114" s="38">
        <v>3.4275756523577701</v>
      </c>
      <c r="E114" s="38">
        <v>5.3944716541462796</v>
      </c>
      <c r="F114" s="38">
        <v>3.9746320477285</v>
      </c>
      <c r="G114" s="38">
        <v>5.1123545399224497</v>
      </c>
      <c r="H114" s="38">
        <v>2.0281413337829899</v>
      </c>
      <c r="I114" s="2">
        <f t="shared" si="8"/>
        <v>3.8798099073608201</v>
      </c>
      <c r="J114" s="2">
        <f t="shared" si="9"/>
        <v>10.9421768261121</v>
      </c>
      <c r="K114" s="2">
        <f t="shared" si="10"/>
        <v>6.4619096977200776</v>
      </c>
      <c r="L114" s="2">
        <f t="shared" si="11"/>
        <v>5.3944716541462796</v>
      </c>
      <c r="M114" s="2">
        <f t="shared" si="12"/>
        <v>3.9746320477285</v>
      </c>
      <c r="N114" s="2">
        <f t="shared" si="13"/>
        <v>5.1123545399224497</v>
      </c>
      <c r="O114" s="2">
        <f t="shared" si="14"/>
        <v>3.7501125722698263</v>
      </c>
    </row>
    <row r="115" spans="1:15" x14ac:dyDescent="0.4">
      <c r="A115" s="1">
        <v>42855</v>
      </c>
      <c r="B115" s="38">
        <v>3.7978366616710701</v>
      </c>
      <c r="C115" s="38">
        <v>10.212972081177501</v>
      </c>
      <c r="D115" s="38">
        <v>3.4145348733376499</v>
      </c>
      <c r="E115" s="38">
        <v>5.2781586027017697</v>
      </c>
      <c r="F115" s="38">
        <v>3.8267323648317499</v>
      </c>
      <c r="G115" s="38">
        <v>4.7589032506072302</v>
      </c>
      <c r="H115" s="38">
        <v>1.9361414291625501</v>
      </c>
      <c r="I115" s="2">
        <f t="shared" si="8"/>
        <v>3.7978366616710701</v>
      </c>
      <c r="J115" s="2">
        <f t="shared" si="9"/>
        <v>10.212972081177501</v>
      </c>
      <c r="K115" s="2">
        <f t="shared" si="10"/>
        <v>6.4373242924765872</v>
      </c>
      <c r="L115" s="2">
        <f t="shared" si="11"/>
        <v>5.2781586027017697</v>
      </c>
      <c r="M115" s="2">
        <f t="shared" si="12"/>
        <v>3.8267323648317499</v>
      </c>
      <c r="N115" s="2">
        <f t="shared" si="13"/>
        <v>4.7589032506072302</v>
      </c>
      <c r="O115" s="2">
        <f t="shared" si="14"/>
        <v>3.5800011538899215</v>
      </c>
    </row>
    <row r="116" spans="1:15" x14ac:dyDescent="0.4">
      <c r="A116" s="1">
        <v>42886</v>
      </c>
      <c r="B116" s="38">
        <v>3.53644051027918</v>
      </c>
      <c r="C116" s="38">
        <v>9.6139947676255098</v>
      </c>
      <c r="D116" s="38">
        <v>3.42480924323293</v>
      </c>
      <c r="E116" s="38">
        <v>5.2834387264704699</v>
      </c>
      <c r="F116" s="38">
        <v>3.79539988139374</v>
      </c>
      <c r="G116" s="38">
        <v>4.4483749613817096</v>
      </c>
      <c r="H116" s="38">
        <v>1.8287652706987201</v>
      </c>
      <c r="I116" s="2">
        <f t="shared" si="8"/>
        <v>3.53644051027918</v>
      </c>
      <c r="J116" s="2">
        <f t="shared" si="9"/>
        <v>9.6139947676255098</v>
      </c>
      <c r="K116" s="2">
        <f t="shared" si="10"/>
        <v>6.4566942662417475</v>
      </c>
      <c r="L116" s="2">
        <f t="shared" si="11"/>
        <v>5.2834387264704699</v>
      </c>
      <c r="M116" s="2">
        <f t="shared" si="12"/>
        <v>3.79539988139374</v>
      </c>
      <c r="N116" s="2">
        <f t="shared" si="13"/>
        <v>4.4483749613817096</v>
      </c>
      <c r="O116" s="2">
        <f t="shared" si="14"/>
        <v>3.3814584413531374</v>
      </c>
    </row>
    <row r="117" spans="1:15" x14ac:dyDescent="0.4">
      <c r="A117" s="1">
        <v>42916</v>
      </c>
      <c r="B117" s="38">
        <v>3.73890090062502</v>
      </c>
      <c r="C117" s="38">
        <v>10.1751253732394</v>
      </c>
      <c r="D117" s="38">
        <v>3.6865388645755499</v>
      </c>
      <c r="E117" s="38">
        <v>5.6226199013546401</v>
      </c>
      <c r="F117" s="38">
        <v>3.9186136992468699</v>
      </c>
      <c r="G117" s="38">
        <v>4.6060545875225598</v>
      </c>
      <c r="H117" s="38">
        <v>1.9113542703297199</v>
      </c>
      <c r="I117" s="2">
        <f t="shared" si="8"/>
        <v>3.73890090062502</v>
      </c>
      <c r="J117" s="2">
        <f t="shared" si="9"/>
        <v>10.1751253732394</v>
      </c>
      <c r="K117" s="2">
        <f t="shared" si="10"/>
        <v>6.9501255861809828</v>
      </c>
      <c r="L117" s="2">
        <f t="shared" si="11"/>
        <v>5.6226199013546401</v>
      </c>
      <c r="M117" s="2">
        <f t="shared" si="12"/>
        <v>3.9186136992468699</v>
      </c>
      <c r="N117" s="2">
        <f t="shared" si="13"/>
        <v>4.6060545875225598</v>
      </c>
      <c r="O117" s="2">
        <f t="shared" si="14"/>
        <v>3.534168728692777</v>
      </c>
    </row>
    <row r="118" spans="1:15" x14ac:dyDescent="0.4">
      <c r="A118" s="1">
        <v>42947</v>
      </c>
      <c r="B118" s="38">
        <v>3.85350150377645</v>
      </c>
      <c r="C118" s="38">
        <v>10.5390278730864</v>
      </c>
      <c r="D118" s="38">
        <v>3.6802808879023501</v>
      </c>
      <c r="E118" s="38">
        <v>5.7665205824876402</v>
      </c>
      <c r="F118" s="38">
        <v>4.1567230040178096</v>
      </c>
      <c r="G118" s="38">
        <v>4.53671407188319</v>
      </c>
      <c r="H118" s="38">
        <v>1.94193842843311</v>
      </c>
      <c r="I118" s="2">
        <f t="shared" si="8"/>
        <v>3.85350150377645</v>
      </c>
      <c r="J118" s="2">
        <f t="shared" si="9"/>
        <v>10.5390278730864</v>
      </c>
      <c r="K118" s="2">
        <f t="shared" si="10"/>
        <v>6.9383276029257219</v>
      </c>
      <c r="L118" s="2">
        <f t="shared" si="11"/>
        <v>5.7665205824876402</v>
      </c>
      <c r="M118" s="2">
        <f t="shared" si="12"/>
        <v>4.1567230040178096</v>
      </c>
      <c r="N118" s="2">
        <f t="shared" si="13"/>
        <v>4.53671407188319</v>
      </c>
      <c r="O118" s="2">
        <f t="shared" si="14"/>
        <v>3.5907200320488792</v>
      </c>
    </row>
    <row r="119" spans="1:15" x14ac:dyDescent="0.4">
      <c r="A119" s="1">
        <v>42978</v>
      </c>
      <c r="B119" s="38">
        <v>3.8926277969063201</v>
      </c>
      <c r="C119" s="38">
        <v>10.8405569917586</v>
      </c>
      <c r="D119" s="38">
        <v>3.8659178636255298</v>
      </c>
      <c r="E119" s="38">
        <v>5.8968632252591</v>
      </c>
      <c r="F119" s="38">
        <v>4.2905965925187202</v>
      </c>
      <c r="G119" s="38">
        <v>4.6747812633789199</v>
      </c>
      <c r="H119" s="38">
        <v>1.99890383391085</v>
      </c>
      <c r="I119" s="2">
        <f t="shared" si="8"/>
        <v>3.8926277969063201</v>
      </c>
      <c r="J119" s="2">
        <f t="shared" si="9"/>
        <v>10.8405569917586</v>
      </c>
      <c r="K119" s="2">
        <f t="shared" si="10"/>
        <v>7.2883036487807216</v>
      </c>
      <c r="L119" s="2">
        <f t="shared" si="11"/>
        <v>5.8968632252591</v>
      </c>
      <c r="M119" s="2">
        <f t="shared" si="12"/>
        <v>4.2905965925187202</v>
      </c>
      <c r="N119" s="2">
        <f t="shared" si="13"/>
        <v>4.6747812633789199</v>
      </c>
      <c r="O119" s="2">
        <f t="shared" si="14"/>
        <v>3.6960512926016404</v>
      </c>
    </row>
    <row r="120" spans="1:15" x14ac:dyDescent="0.4">
      <c r="A120" s="1">
        <v>43008</v>
      </c>
      <c r="B120" s="38">
        <v>4.0596979582022099</v>
      </c>
      <c r="C120" s="38">
        <v>11.008120775395801</v>
      </c>
      <c r="D120" s="38">
        <v>4.2195005452462198</v>
      </c>
      <c r="E120" s="38">
        <v>6.3088958637803296</v>
      </c>
      <c r="F120" s="38">
        <v>4.1526356681400998</v>
      </c>
      <c r="G120" s="38">
        <v>4.6021291386410299</v>
      </c>
      <c r="H120" s="38">
        <v>2.0378024676236501</v>
      </c>
      <c r="I120" s="2">
        <f t="shared" si="8"/>
        <v>4.0596979582022099</v>
      </c>
      <c r="J120" s="2">
        <f t="shared" si="9"/>
        <v>11.008120775395801</v>
      </c>
      <c r="K120" s="2">
        <f t="shared" si="10"/>
        <v>7.9549028988188404</v>
      </c>
      <c r="L120" s="2">
        <f t="shared" si="11"/>
        <v>6.3088958637803296</v>
      </c>
      <c r="M120" s="2">
        <f t="shared" si="12"/>
        <v>4.1526356681400998</v>
      </c>
      <c r="N120" s="2">
        <f t="shared" si="13"/>
        <v>4.6021291386410299</v>
      </c>
      <c r="O120" s="2">
        <f t="shared" si="14"/>
        <v>3.767976386233256</v>
      </c>
    </row>
    <row r="121" spans="1:15" x14ac:dyDescent="0.4">
      <c r="A121" s="1">
        <v>43039</v>
      </c>
      <c r="B121" s="38">
        <v>4.0029349575472297</v>
      </c>
      <c r="C121" s="38">
        <v>10.5510325890101</v>
      </c>
      <c r="D121" s="38">
        <v>4.4877041463860596</v>
      </c>
      <c r="E121" s="38">
        <v>6.4307997569023803</v>
      </c>
      <c r="F121" s="38">
        <v>4.1209820637505503</v>
      </c>
      <c r="G121" s="38">
        <v>4.5770766573344197</v>
      </c>
      <c r="H121" s="38">
        <v>2.0289397972941501</v>
      </c>
      <c r="I121" s="2">
        <f t="shared" si="8"/>
        <v>4.0029349575472297</v>
      </c>
      <c r="J121" s="2">
        <f t="shared" si="9"/>
        <v>10.5510325890101</v>
      </c>
      <c r="K121" s="2">
        <f t="shared" si="10"/>
        <v>8.4605394264843365</v>
      </c>
      <c r="L121" s="2">
        <f t="shared" si="11"/>
        <v>6.4307997569023803</v>
      </c>
      <c r="M121" s="2">
        <f t="shared" si="12"/>
        <v>4.1209820637505503</v>
      </c>
      <c r="N121" s="2">
        <f t="shared" si="13"/>
        <v>4.5770766573344197</v>
      </c>
      <c r="O121" s="2">
        <f t="shared" si="14"/>
        <v>3.7515889625005383</v>
      </c>
    </row>
    <row r="122" spans="1:15" x14ac:dyDescent="0.4">
      <c r="A122" s="1">
        <v>43069</v>
      </c>
      <c r="B122" s="38">
        <v>3.8902841219280302</v>
      </c>
      <c r="C122" s="38">
        <v>10.269545733468901</v>
      </c>
      <c r="D122" s="38">
        <v>4.3354249375903304</v>
      </c>
      <c r="E122" s="38">
        <v>6.4011983586367904</v>
      </c>
      <c r="F122" s="38">
        <v>4.1330211896635003</v>
      </c>
      <c r="G122" s="38">
        <v>4.2308876596869904</v>
      </c>
      <c r="H122" s="38">
        <v>1.93300062117376</v>
      </c>
      <c r="I122" s="2">
        <f t="shared" si="8"/>
        <v>3.8902841219280302</v>
      </c>
      <c r="J122" s="2">
        <f t="shared" si="9"/>
        <v>10.269545733468901</v>
      </c>
      <c r="K122" s="2">
        <f t="shared" si="10"/>
        <v>8.1734518182498181</v>
      </c>
      <c r="L122" s="2">
        <f t="shared" si="11"/>
        <v>6.4011983586367904</v>
      </c>
      <c r="M122" s="2">
        <f t="shared" si="12"/>
        <v>4.1330211896635003</v>
      </c>
      <c r="N122" s="2">
        <f t="shared" si="13"/>
        <v>4.2308876596869904</v>
      </c>
      <c r="O122" s="2">
        <f t="shared" si="14"/>
        <v>3.574193677197024</v>
      </c>
    </row>
    <row r="123" spans="1:15" x14ac:dyDescent="0.4">
      <c r="A123" s="1">
        <v>43100</v>
      </c>
      <c r="B123" s="38">
        <v>3.8479130523632699</v>
      </c>
      <c r="C123" s="38">
        <v>10.4312552852015</v>
      </c>
      <c r="D123" s="38">
        <v>4.6088914098751204</v>
      </c>
      <c r="E123" s="38">
        <v>6.5941895628309801</v>
      </c>
      <c r="F123" s="38">
        <v>4.17736512841556</v>
      </c>
      <c r="G123" s="38">
        <v>4.1741634806208401</v>
      </c>
      <c r="H123" s="38">
        <v>1.92488389045676</v>
      </c>
      <c r="I123" s="2">
        <f t="shared" si="8"/>
        <v>3.8479130523632699</v>
      </c>
      <c r="J123" s="2">
        <f t="shared" si="9"/>
        <v>10.4312552852015</v>
      </c>
      <c r="K123" s="2">
        <f t="shared" si="10"/>
        <v>8.6890102853671856</v>
      </c>
      <c r="L123" s="2">
        <f t="shared" si="11"/>
        <v>6.5941895628309801</v>
      </c>
      <c r="M123" s="2">
        <f t="shared" si="12"/>
        <v>4.17736512841556</v>
      </c>
      <c r="N123" s="2">
        <f t="shared" si="13"/>
        <v>4.1741634806208401</v>
      </c>
      <c r="O123" s="2">
        <f t="shared" si="14"/>
        <v>3.5591855249541156</v>
      </c>
    </row>
    <row r="124" spans="1:15" x14ac:dyDescent="0.4">
      <c r="A124" s="1">
        <v>43131</v>
      </c>
      <c r="B124" s="38">
        <v>3.8100130125588301</v>
      </c>
      <c r="C124" s="38">
        <v>10.3321596846513</v>
      </c>
      <c r="D124" s="38">
        <v>4.61630097844695</v>
      </c>
      <c r="E124" s="38">
        <v>6.6165759061284399</v>
      </c>
      <c r="F124" s="38">
        <v>4.3781472576425298</v>
      </c>
      <c r="G124" s="38">
        <v>4.0051469419421402</v>
      </c>
      <c r="H124" s="38">
        <v>1.8935902266870901</v>
      </c>
      <c r="I124" s="2">
        <f t="shared" si="8"/>
        <v>3.8100130125588301</v>
      </c>
      <c r="J124" s="2">
        <f t="shared" si="9"/>
        <v>10.3321596846513</v>
      </c>
      <c r="K124" s="2">
        <f t="shared" si="10"/>
        <v>8.7029793316746797</v>
      </c>
      <c r="L124" s="2">
        <f t="shared" si="11"/>
        <v>6.6165759061284399</v>
      </c>
      <c r="M124" s="2">
        <f t="shared" si="12"/>
        <v>4.3781472576425298</v>
      </c>
      <c r="N124" s="2">
        <f t="shared" si="13"/>
        <v>4.0051469419421402</v>
      </c>
      <c r="O124" s="2">
        <f t="shared" si="14"/>
        <v>3.5013223178983588</v>
      </c>
    </row>
    <row r="125" spans="1:15" x14ac:dyDescent="0.4">
      <c r="A125" s="1">
        <v>43159</v>
      </c>
      <c r="B125" s="38">
        <v>3.7213293591155301</v>
      </c>
      <c r="C125" s="38">
        <v>9.67711470938292</v>
      </c>
      <c r="D125" s="38">
        <v>4.4376235642123003</v>
      </c>
      <c r="E125" s="38">
        <v>6.3426603018436598</v>
      </c>
      <c r="F125" s="38">
        <v>4.0722154130166803</v>
      </c>
      <c r="G125" s="38">
        <v>3.8440287559693198</v>
      </c>
      <c r="H125" s="38">
        <v>1.8246561144035101</v>
      </c>
      <c r="I125" s="2">
        <f t="shared" si="8"/>
        <v>3.7213293591155301</v>
      </c>
      <c r="J125" s="2">
        <f t="shared" si="9"/>
        <v>9.67711470938292</v>
      </c>
      <c r="K125" s="2">
        <f t="shared" si="10"/>
        <v>8.3661239467287043</v>
      </c>
      <c r="L125" s="2">
        <f t="shared" si="11"/>
        <v>6.3426603018436598</v>
      </c>
      <c r="M125" s="2">
        <f t="shared" si="12"/>
        <v>4.0722154130166803</v>
      </c>
      <c r="N125" s="2">
        <f t="shared" si="13"/>
        <v>3.8440287559693198</v>
      </c>
      <c r="O125" s="2">
        <f t="shared" si="14"/>
        <v>3.3738604508051386</v>
      </c>
    </row>
    <row r="126" spans="1:15" x14ac:dyDescent="0.4">
      <c r="A126" s="1">
        <v>43190</v>
      </c>
      <c r="B126" s="38">
        <v>3.8799771761765198</v>
      </c>
      <c r="C126" s="38">
        <v>9.4980988243350701</v>
      </c>
      <c r="D126" s="38">
        <v>4.3517920961465304</v>
      </c>
      <c r="E126" s="38">
        <v>6.1528041560669999</v>
      </c>
      <c r="F126" s="38">
        <v>3.8234907451817701</v>
      </c>
      <c r="G126" s="38">
        <v>3.9990328160088402</v>
      </c>
      <c r="H126" s="38">
        <v>1.8556956211481801</v>
      </c>
      <c r="I126" s="2">
        <f t="shared" si="8"/>
        <v>3.8799771761765198</v>
      </c>
      <c r="J126" s="2">
        <f t="shared" si="9"/>
        <v>9.4980988243350701</v>
      </c>
      <c r="K126" s="2">
        <f t="shared" si="10"/>
        <v>8.2043083510664392</v>
      </c>
      <c r="L126" s="2">
        <f t="shared" si="11"/>
        <v>6.1528041560669999</v>
      </c>
      <c r="M126" s="2">
        <f t="shared" si="12"/>
        <v>3.8234907451817701</v>
      </c>
      <c r="N126" s="2">
        <f t="shared" si="13"/>
        <v>3.9990328160088402</v>
      </c>
      <c r="O126" s="2">
        <f t="shared" si="14"/>
        <v>3.4312537115909256</v>
      </c>
    </row>
    <row r="127" spans="1:15" x14ac:dyDescent="0.4">
      <c r="A127" s="1">
        <v>43220</v>
      </c>
      <c r="B127" s="38">
        <v>3.8197877961425299</v>
      </c>
      <c r="C127" s="38">
        <v>9.1417041407368007</v>
      </c>
      <c r="D127" s="38">
        <v>4.3245070435436004</v>
      </c>
      <c r="E127" s="38">
        <v>6.1221723710203202</v>
      </c>
      <c r="F127" s="38">
        <v>3.7488041463711101</v>
      </c>
      <c r="G127" s="38">
        <v>3.8759826261457002</v>
      </c>
      <c r="H127" s="38">
        <v>1.77486930470846</v>
      </c>
      <c r="I127" s="2">
        <f t="shared" si="8"/>
        <v>3.8197877961425299</v>
      </c>
      <c r="J127" s="2">
        <f t="shared" si="9"/>
        <v>9.1417041407368007</v>
      </c>
      <c r="K127" s="2">
        <f t="shared" si="10"/>
        <v>8.1528686269289441</v>
      </c>
      <c r="L127" s="2">
        <f t="shared" si="11"/>
        <v>6.1221723710203202</v>
      </c>
      <c r="M127" s="2">
        <f t="shared" si="12"/>
        <v>3.7488041463711101</v>
      </c>
      <c r="N127" s="2">
        <f t="shared" si="13"/>
        <v>3.8759826261457002</v>
      </c>
      <c r="O127" s="2">
        <f t="shared" si="14"/>
        <v>3.281802694345751</v>
      </c>
    </row>
    <row r="128" spans="1:15" x14ac:dyDescent="0.4">
      <c r="A128" s="1">
        <v>43251</v>
      </c>
      <c r="B128" s="38">
        <v>3.7144834979455799</v>
      </c>
      <c r="C128" s="38">
        <v>9.5208578387684106</v>
      </c>
      <c r="D128" s="38">
        <v>4.5890857084457402</v>
      </c>
      <c r="E128" s="38">
        <v>6.3834762105094303</v>
      </c>
      <c r="F128" s="38">
        <v>3.67912304963665</v>
      </c>
      <c r="G128" s="38">
        <v>3.7649568586451001</v>
      </c>
      <c r="H128" s="38">
        <v>1.7650417691301801</v>
      </c>
      <c r="I128" s="2">
        <f t="shared" si="8"/>
        <v>3.7144834979455799</v>
      </c>
      <c r="J128" s="2">
        <f t="shared" si="9"/>
        <v>9.5208578387684106</v>
      </c>
      <c r="K128" s="2">
        <f t="shared" si="10"/>
        <v>8.6516711666671728</v>
      </c>
      <c r="L128" s="2">
        <f t="shared" si="11"/>
        <v>6.3834762105094303</v>
      </c>
      <c r="M128" s="2">
        <f t="shared" si="12"/>
        <v>3.67912304963665</v>
      </c>
      <c r="N128" s="2">
        <f t="shared" si="13"/>
        <v>3.7649568586451001</v>
      </c>
      <c r="O128" s="2">
        <f t="shared" si="14"/>
        <v>3.2636311970676029</v>
      </c>
    </row>
    <row r="129" spans="1:15" x14ac:dyDescent="0.4">
      <c r="A129" s="1">
        <v>43281</v>
      </c>
      <c r="B129" s="38">
        <v>3.4150981916853</v>
      </c>
      <c r="C129" s="38">
        <v>8.6509242370875707</v>
      </c>
      <c r="D129" s="38">
        <v>4.3202214477799101</v>
      </c>
      <c r="E129" s="38">
        <v>6.06765700747445</v>
      </c>
      <c r="F129" s="38">
        <v>3.5691306293772</v>
      </c>
      <c r="G129" s="38">
        <v>3.4005150171488499</v>
      </c>
      <c r="H129" s="38">
        <v>1.59571332465775</v>
      </c>
      <c r="I129" s="2">
        <f t="shared" si="8"/>
        <v>3.4150981916853</v>
      </c>
      <c r="J129" s="2">
        <f t="shared" si="9"/>
        <v>8.6509242370875707</v>
      </c>
      <c r="K129" s="2">
        <f t="shared" si="10"/>
        <v>8.1447891166176696</v>
      </c>
      <c r="L129" s="2">
        <f t="shared" si="11"/>
        <v>6.06765700747445</v>
      </c>
      <c r="M129" s="2">
        <f t="shared" si="12"/>
        <v>3.5691306293772</v>
      </c>
      <c r="N129" s="2">
        <f t="shared" si="13"/>
        <v>3.4005150171488499</v>
      </c>
      <c r="O129" s="2">
        <f t="shared" si="14"/>
        <v>2.9505362870227896</v>
      </c>
    </row>
    <row r="130" spans="1:15" x14ac:dyDescent="0.4">
      <c r="A130" s="1">
        <v>43312</v>
      </c>
      <c r="B130" s="38">
        <v>3.41095146697254</v>
      </c>
      <c r="C130" s="38">
        <v>8.6248677388582191</v>
      </c>
      <c r="D130" s="38">
        <v>4.23579766639015</v>
      </c>
      <c r="E130" s="38">
        <v>5.86445282390443</v>
      </c>
      <c r="F130" s="38">
        <v>3.8415801268931302</v>
      </c>
      <c r="G130" s="38">
        <v>3.35078009030694</v>
      </c>
      <c r="H130" s="38">
        <v>1.59650216346672</v>
      </c>
      <c r="I130" s="2">
        <f t="shared" si="8"/>
        <v>3.41095146697254</v>
      </c>
      <c r="J130" s="2">
        <f t="shared" si="9"/>
        <v>8.6248677388582191</v>
      </c>
      <c r="K130" s="2">
        <f t="shared" si="10"/>
        <v>7.9856273921184826</v>
      </c>
      <c r="L130" s="2">
        <f t="shared" si="11"/>
        <v>5.86445282390443</v>
      </c>
      <c r="M130" s="2">
        <f t="shared" si="12"/>
        <v>3.8415801268931302</v>
      </c>
      <c r="N130" s="2">
        <f t="shared" si="13"/>
        <v>3.35078009030694</v>
      </c>
      <c r="O130" s="2">
        <f t="shared" si="14"/>
        <v>2.9519948808030834</v>
      </c>
    </row>
    <row r="131" spans="1:15" x14ac:dyDescent="0.4">
      <c r="A131" s="1">
        <v>43343</v>
      </c>
      <c r="B131" s="38">
        <v>3.4460782529770801</v>
      </c>
      <c r="C131" s="38">
        <v>7.9366470972280796</v>
      </c>
      <c r="D131" s="38">
        <v>3.8559954971164201</v>
      </c>
      <c r="E131" s="38">
        <v>5.4546666952073002</v>
      </c>
      <c r="F131" s="38">
        <v>3.6642185896447401</v>
      </c>
      <c r="G131" s="38">
        <v>3.05121979558665</v>
      </c>
      <c r="H131" s="38">
        <v>1.4768066865068901</v>
      </c>
      <c r="I131" s="2">
        <f t="shared" si="8"/>
        <v>3.4460782529770801</v>
      </c>
      <c r="J131" s="2">
        <f t="shared" si="9"/>
        <v>7.9366470972280796</v>
      </c>
      <c r="K131" s="2">
        <f t="shared" si="10"/>
        <v>7.2695972968653537</v>
      </c>
      <c r="L131" s="2">
        <f t="shared" si="11"/>
        <v>5.4546666952073002</v>
      </c>
      <c r="M131" s="2">
        <f t="shared" si="12"/>
        <v>3.6642185896447401</v>
      </c>
      <c r="N131" s="2">
        <f t="shared" si="13"/>
        <v>3.05121979558665</v>
      </c>
      <c r="O131" s="2">
        <f t="shared" si="14"/>
        <v>2.7306732670111913</v>
      </c>
    </row>
    <row r="132" spans="1:15" x14ac:dyDescent="0.4">
      <c r="A132" s="1">
        <v>43373</v>
      </c>
      <c r="B132" s="38">
        <v>3.5249661851392999</v>
      </c>
      <c r="C132" s="38">
        <v>8.2247105702317693</v>
      </c>
      <c r="D132" s="38">
        <v>4.1048269686167203</v>
      </c>
      <c r="E132" s="38">
        <v>5.7426649764000102</v>
      </c>
      <c r="F132" s="38">
        <v>3.6216789463075099</v>
      </c>
      <c r="G132" s="38">
        <v>3.01962902086342</v>
      </c>
      <c r="H132" s="38">
        <v>1.48035023264246</v>
      </c>
      <c r="I132" s="2">
        <f t="shared" si="8"/>
        <v>3.5249661851392999</v>
      </c>
      <c r="J132" s="2">
        <f t="shared" si="9"/>
        <v>8.2247105702317693</v>
      </c>
      <c r="K132" s="2">
        <f t="shared" si="10"/>
        <v>7.738712106243721</v>
      </c>
      <c r="L132" s="2">
        <f t="shared" si="11"/>
        <v>5.7426649764000102</v>
      </c>
      <c r="M132" s="2">
        <f t="shared" si="12"/>
        <v>3.6216789463075099</v>
      </c>
      <c r="N132" s="2">
        <f t="shared" si="13"/>
        <v>3.01962902086342</v>
      </c>
      <c r="O132" s="2">
        <f t="shared" si="14"/>
        <v>2.7372254222737795</v>
      </c>
    </row>
    <row r="133" spans="1:15" x14ac:dyDescent="0.4">
      <c r="A133" s="1">
        <v>43404</v>
      </c>
      <c r="B133" s="38">
        <v>3.0996452001380099</v>
      </c>
      <c r="C133" s="38">
        <v>7.2600616273413197</v>
      </c>
      <c r="D133" s="38">
        <v>3.5165445829322</v>
      </c>
      <c r="E133" s="38">
        <v>5.16958578068341</v>
      </c>
      <c r="F133" s="38">
        <v>3.3348469284354398</v>
      </c>
      <c r="G133" s="38">
        <v>2.7415390555651902</v>
      </c>
      <c r="H133" s="38">
        <v>1.3260906892312101</v>
      </c>
      <c r="I133" s="2">
        <f t="shared" si="8"/>
        <v>3.0996452001380099</v>
      </c>
      <c r="J133" s="2">
        <f t="shared" si="9"/>
        <v>7.2600616273413197</v>
      </c>
      <c r="K133" s="2">
        <f t="shared" si="10"/>
        <v>6.6296402611225878</v>
      </c>
      <c r="L133" s="2">
        <f t="shared" si="11"/>
        <v>5.16958578068341</v>
      </c>
      <c r="M133" s="2">
        <f t="shared" si="12"/>
        <v>3.3348469284354398</v>
      </c>
      <c r="N133" s="2">
        <f t="shared" si="13"/>
        <v>2.7415390555651902</v>
      </c>
      <c r="O133" s="2">
        <f t="shared" si="14"/>
        <v>2.4519934990822625</v>
      </c>
    </row>
    <row r="134" spans="1:15" x14ac:dyDescent="0.4">
      <c r="A134" s="1">
        <v>43434</v>
      </c>
      <c r="B134" s="38">
        <v>3.2094507545849602</v>
      </c>
      <c r="C134" s="38">
        <v>7.6005944527897302</v>
      </c>
      <c r="D134" s="38">
        <v>3.6355229062971199</v>
      </c>
      <c r="E134" s="38">
        <v>5.3193844971578699</v>
      </c>
      <c r="F134" s="38">
        <v>3.3949560468193201</v>
      </c>
      <c r="G134" s="38">
        <v>2.9373357799622299</v>
      </c>
      <c r="H134" s="38">
        <v>1.37561651700929</v>
      </c>
      <c r="I134" s="2">
        <f t="shared" si="8"/>
        <v>3.2094507545849602</v>
      </c>
      <c r="J134" s="2">
        <f t="shared" si="9"/>
        <v>7.6005944527897302</v>
      </c>
      <c r="K134" s="2">
        <f t="shared" si="10"/>
        <v>6.8539466687846291</v>
      </c>
      <c r="L134" s="2">
        <f t="shared" si="11"/>
        <v>5.3193844971578699</v>
      </c>
      <c r="M134" s="2">
        <f t="shared" si="12"/>
        <v>3.3949560468193201</v>
      </c>
      <c r="N134" s="2">
        <f t="shared" si="13"/>
        <v>2.9373357799622299</v>
      </c>
      <c r="O134" s="2">
        <f t="shared" si="14"/>
        <v>2.5435686897797565</v>
      </c>
    </row>
    <row r="135" spans="1:15" x14ac:dyDescent="0.4">
      <c r="A135" s="1">
        <v>43465</v>
      </c>
      <c r="B135" s="38">
        <v>3.1206937093892302</v>
      </c>
      <c r="C135" s="38">
        <v>7.2440360723945698</v>
      </c>
      <c r="D135" s="38">
        <v>3.6584050181679202</v>
      </c>
      <c r="E135" s="38">
        <v>5.1546218960894397</v>
      </c>
      <c r="F135" s="38">
        <v>3.3452626670438002</v>
      </c>
      <c r="G135" s="38">
        <v>2.8514146566970702</v>
      </c>
      <c r="H135" s="38">
        <v>1.31855030109575</v>
      </c>
      <c r="I135" s="2">
        <f t="shared" si="8"/>
        <v>3.1206937093892302</v>
      </c>
      <c r="J135" s="2">
        <f t="shared" si="9"/>
        <v>7.2440360723945698</v>
      </c>
      <c r="K135" s="2">
        <f t="shared" si="10"/>
        <v>6.897085655520204</v>
      </c>
      <c r="L135" s="2">
        <f t="shared" si="11"/>
        <v>5.1546218960894397</v>
      </c>
      <c r="M135" s="2">
        <f t="shared" si="12"/>
        <v>3.3452626670438002</v>
      </c>
      <c r="N135" s="2">
        <f t="shared" si="13"/>
        <v>2.8514146566970702</v>
      </c>
      <c r="O135" s="2">
        <f t="shared" si="14"/>
        <v>2.4380510267922082</v>
      </c>
    </row>
    <row r="136" spans="1:15" x14ac:dyDescent="0.4">
      <c r="A136" s="1">
        <v>43496</v>
      </c>
      <c r="B136" s="38">
        <v>3.1577488181579398</v>
      </c>
      <c r="C136" s="38">
        <v>6.7355420148668896</v>
      </c>
      <c r="D136" s="38">
        <v>3.8087465395782401</v>
      </c>
      <c r="E136" s="38">
        <v>5.4555327504500299</v>
      </c>
      <c r="F136" s="38">
        <v>3.3617761462596798</v>
      </c>
      <c r="G136" s="38">
        <v>2.8089946638084302</v>
      </c>
      <c r="H136" s="38">
        <v>1.3185878073849799</v>
      </c>
      <c r="I136" s="2">
        <f t="shared" si="8"/>
        <v>3.1577488181579398</v>
      </c>
      <c r="J136" s="2">
        <f t="shared" si="9"/>
        <v>6.7355420148668896</v>
      </c>
      <c r="K136" s="2">
        <f t="shared" si="10"/>
        <v>7.1805201975128989</v>
      </c>
      <c r="L136" s="2">
        <f t="shared" si="11"/>
        <v>5.4555327504500299</v>
      </c>
      <c r="M136" s="2">
        <f t="shared" si="12"/>
        <v>3.3617761462596798</v>
      </c>
      <c r="N136" s="2">
        <f t="shared" si="13"/>
        <v>2.8089946638084302</v>
      </c>
      <c r="O136" s="2">
        <f t="shared" si="14"/>
        <v>2.4381203773864875</v>
      </c>
    </row>
    <row r="137" spans="1:15" x14ac:dyDescent="0.4">
      <c r="A137" s="1">
        <v>43524</v>
      </c>
      <c r="B137" s="38">
        <v>3.8324762793010199</v>
      </c>
      <c r="C137" s="38">
        <v>8.9023834226565999</v>
      </c>
      <c r="D137" s="38">
        <v>4.2775219186330702</v>
      </c>
      <c r="E137" s="38">
        <v>6.15695496915039</v>
      </c>
      <c r="F137" s="38">
        <v>3.8271409949588602</v>
      </c>
      <c r="G137" s="38">
        <v>3.2965308354745599</v>
      </c>
      <c r="H137" s="38">
        <v>1.58880327032464</v>
      </c>
      <c r="I137" s="2">
        <f t="shared" si="8"/>
        <v>3.8324762793010199</v>
      </c>
      <c r="J137" s="2">
        <f t="shared" si="9"/>
        <v>8.9023834226565999</v>
      </c>
      <c r="K137" s="2">
        <f t="shared" si="10"/>
        <v>8.0642889236336739</v>
      </c>
      <c r="L137" s="2">
        <f t="shared" si="11"/>
        <v>6.15695496915039</v>
      </c>
      <c r="M137" s="2">
        <f t="shared" si="12"/>
        <v>3.8271409949588602</v>
      </c>
      <c r="N137" s="2">
        <f t="shared" si="13"/>
        <v>3.2965308354745599</v>
      </c>
      <c r="O137" s="2">
        <f t="shared" si="14"/>
        <v>2.9377593265624808</v>
      </c>
    </row>
    <row r="138" spans="1:15" x14ac:dyDescent="0.4">
      <c r="A138" s="1">
        <v>43555</v>
      </c>
      <c r="B138" s="38">
        <v>4.2299778640918504</v>
      </c>
      <c r="C138" s="38">
        <v>10.043789931096599</v>
      </c>
      <c r="D138" s="38">
        <v>4.75581620667064</v>
      </c>
      <c r="E138" s="38">
        <v>6.8655785063613699</v>
      </c>
      <c r="F138" s="38">
        <v>3.9940339999398198</v>
      </c>
      <c r="G138" s="38">
        <v>3.67988053942195</v>
      </c>
      <c r="H138" s="38">
        <v>1.7314845437611801</v>
      </c>
      <c r="I138" s="2">
        <f t="shared" si="8"/>
        <v>4.2299778640918504</v>
      </c>
      <c r="J138" s="2">
        <f t="shared" si="9"/>
        <v>10.043789931096599</v>
      </c>
      <c r="K138" s="2">
        <f t="shared" si="10"/>
        <v>8.9660033748108656</v>
      </c>
      <c r="L138" s="2">
        <f t="shared" si="11"/>
        <v>6.8655785063613699</v>
      </c>
      <c r="M138" s="2">
        <f t="shared" si="12"/>
        <v>3.9940339999398198</v>
      </c>
      <c r="N138" s="2">
        <f t="shared" si="13"/>
        <v>3.67988053942195</v>
      </c>
      <c r="O138" s="2">
        <f t="shared" si="14"/>
        <v>3.2015825761699412</v>
      </c>
    </row>
    <row r="139" spans="1:15" x14ac:dyDescent="0.4">
      <c r="A139" s="1">
        <v>43585</v>
      </c>
      <c r="B139" s="38">
        <v>4.2832719748851904</v>
      </c>
      <c r="C139" s="38">
        <v>9.3812061464667806</v>
      </c>
      <c r="D139" s="38">
        <v>5.0325765402659801</v>
      </c>
      <c r="E139" s="38">
        <v>6.7920554392127697</v>
      </c>
      <c r="F139" s="38">
        <v>3.8813938073612602</v>
      </c>
      <c r="G139" s="38">
        <v>3.5719498174534001</v>
      </c>
      <c r="H139" s="38">
        <v>1.6766454367318699</v>
      </c>
      <c r="I139" s="2">
        <f t="shared" si="8"/>
        <v>4.2832719748851904</v>
      </c>
      <c r="J139" s="2">
        <f t="shared" si="9"/>
        <v>9.3812061464667806</v>
      </c>
      <c r="K139" s="2">
        <f t="shared" si="10"/>
        <v>9.4877716638269707</v>
      </c>
      <c r="L139" s="2">
        <f t="shared" si="11"/>
        <v>6.7920554392127697</v>
      </c>
      <c r="M139" s="2">
        <f t="shared" si="12"/>
        <v>3.8813938073612602</v>
      </c>
      <c r="N139" s="2">
        <f t="shared" si="13"/>
        <v>3.5719498174534001</v>
      </c>
      <c r="O139" s="2">
        <f t="shared" si="14"/>
        <v>3.1001829245297507</v>
      </c>
    </row>
    <row r="140" spans="1:15" x14ac:dyDescent="0.4">
      <c r="A140" s="1">
        <v>43616</v>
      </c>
      <c r="B140" s="38">
        <v>3.7610091273947002</v>
      </c>
      <c r="C140" s="38">
        <v>8.9041288882402103</v>
      </c>
      <c r="D140" s="38">
        <v>4.88403075322472</v>
      </c>
      <c r="E140" s="38">
        <v>6.5426755760274897</v>
      </c>
      <c r="F140" s="38">
        <v>3.6648159248451502</v>
      </c>
      <c r="G140" s="38">
        <v>3.2690637485724601</v>
      </c>
      <c r="H140" s="38">
        <v>1.58147493719592</v>
      </c>
      <c r="I140" s="2">
        <f t="shared" si="8"/>
        <v>3.7610091273947002</v>
      </c>
      <c r="J140" s="2">
        <f t="shared" si="9"/>
        <v>8.9041288882402103</v>
      </c>
      <c r="K140" s="2">
        <f t="shared" si="10"/>
        <v>9.2077225681411932</v>
      </c>
      <c r="L140" s="2">
        <f t="shared" si="11"/>
        <v>6.5426755760274897</v>
      </c>
      <c r="M140" s="2">
        <f t="shared" si="12"/>
        <v>3.6648159248451502</v>
      </c>
      <c r="N140" s="2">
        <f t="shared" si="13"/>
        <v>3.2690637485724601</v>
      </c>
      <c r="O140" s="2">
        <f t="shared" si="14"/>
        <v>2.9242089522655705</v>
      </c>
    </row>
    <row r="141" spans="1:15" x14ac:dyDescent="0.4">
      <c r="A141" s="1">
        <v>43646</v>
      </c>
      <c r="B141" s="38">
        <v>3.7299130537677501</v>
      </c>
      <c r="C141" s="38">
        <v>8.9622148152730698</v>
      </c>
      <c r="D141" s="38">
        <v>5.3349507814289403</v>
      </c>
      <c r="E141" s="38">
        <v>7.0866354136803897</v>
      </c>
      <c r="F141" s="38">
        <v>3.7137592872929299</v>
      </c>
      <c r="G141" s="38">
        <v>3.2672364782556498</v>
      </c>
      <c r="H141" s="38">
        <v>1.6029137669824001</v>
      </c>
      <c r="I141" s="2">
        <f t="shared" si="8"/>
        <v>3.7299130537677501</v>
      </c>
      <c r="J141" s="2">
        <f t="shared" si="9"/>
        <v>8.9622148152730698</v>
      </c>
      <c r="K141" s="2">
        <f t="shared" si="10"/>
        <v>10.057829115357652</v>
      </c>
      <c r="L141" s="2">
        <f t="shared" si="11"/>
        <v>7.0866354136803897</v>
      </c>
      <c r="M141" s="2">
        <f t="shared" si="12"/>
        <v>3.7137592872929299</v>
      </c>
      <c r="N141" s="2">
        <f t="shared" si="13"/>
        <v>3.2672364782556498</v>
      </c>
      <c r="O141" s="2">
        <f t="shared" si="14"/>
        <v>2.963850186225863</v>
      </c>
    </row>
    <row r="142" spans="1:15" x14ac:dyDescent="0.4">
      <c r="A142" s="1">
        <v>43677</v>
      </c>
      <c r="B142" s="38">
        <v>3.7930416264646301</v>
      </c>
      <c r="C142" s="38">
        <v>8.9180353164889201</v>
      </c>
      <c r="D142" s="38">
        <v>5.2401075126094101</v>
      </c>
      <c r="E142" s="38">
        <v>6.8622522484474002</v>
      </c>
      <c r="F142" s="38">
        <v>3.6118307602066899</v>
      </c>
      <c r="G142" s="38">
        <v>3.1326527475202699</v>
      </c>
      <c r="H142" s="38">
        <v>1.58409688291745</v>
      </c>
      <c r="I142" s="2">
        <f t="shared" si="8"/>
        <v>3.7930416264646301</v>
      </c>
      <c r="J142" s="2">
        <f t="shared" si="9"/>
        <v>8.9180353164889201</v>
      </c>
      <c r="K142" s="2">
        <f t="shared" si="10"/>
        <v>9.8790238311834528</v>
      </c>
      <c r="L142" s="2">
        <f t="shared" si="11"/>
        <v>6.8622522484474002</v>
      </c>
      <c r="M142" s="2">
        <f t="shared" si="12"/>
        <v>3.6118307602066899</v>
      </c>
      <c r="N142" s="2">
        <f t="shared" si="13"/>
        <v>3.1326527475202699</v>
      </c>
      <c r="O142" s="2">
        <f t="shared" si="14"/>
        <v>2.9290570323526608</v>
      </c>
    </row>
    <row r="143" spans="1:15" x14ac:dyDescent="0.4">
      <c r="A143" s="1">
        <v>43708</v>
      </c>
      <c r="B143" s="38">
        <v>3.6535634160645398</v>
      </c>
      <c r="C143" s="38">
        <v>8.7565014088462902</v>
      </c>
      <c r="D143" s="38">
        <v>5.3739193757538404</v>
      </c>
      <c r="E143" s="38">
        <v>6.6936311131333603</v>
      </c>
      <c r="F143" s="38">
        <v>3.4850420511447702</v>
      </c>
      <c r="G143" s="38">
        <v>2.9884145945617302</v>
      </c>
      <c r="H143" s="38">
        <v>1.5641994802313901</v>
      </c>
      <c r="I143" s="2">
        <f t="shared" si="8"/>
        <v>3.6535634160645398</v>
      </c>
      <c r="J143" s="2">
        <f t="shared" si="9"/>
        <v>8.7565014088462902</v>
      </c>
      <c r="K143" s="2">
        <f t="shared" si="10"/>
        <v>10.131295484335205</v>
      </c>
      <c r="L143" s="2">
        <f t="shared" si="11"/>
        <v>6.6936311131333603</v>
      </c>
      <c r="M143" s="2">
        <f t="shared" si="12"/>
        <v>3.4850420511447702</v>
      </c>
      <c r="N143" s="2">
        <f t="shared" si="13"/>
        <v>2.9884145945617302</v>
      </c>
      <c r="O143" s="2">
        <f t="shared" si="14"/>
        <v>2.8922659573296357</v>
      </c>
    </row>
    <row r="144" spans="1:15" x14ac:dyDescent="0.4">
      <c r="A144" s="1">
        <v>43738</v>
      </c>
      <c r="B144" s="38">
        <v>3.4777149117087802</v>
      </c>
      <c r="C144" s="38">
        <v>8.8329778088236495</v>
      </c>
      <c r="D144" s="38">
        <v>5.3195719799324399</v>
      </c>
      <c r="E144" s="38">
        <v>6.7127186285729499</v>
      </c>
      <c r="F144" s="38">
        <v>3.4942175196017198</v>
      </c>
      <c r="G144" s="38">
        <v>3.0224086069914602</v>
      </c>
      <c r="H144" s="38">
        <v>1.58039790511825</v>
      </c>
      <c r="I144" s="2">
        <f t="shared" si="8"/>
        <v>3.4777149117087802</v>
      </c>
      <c r="J144" s="2">
        <f t="shared" si="9"/>
        <v>8.8329778088236495</v>
      </c>
      <c r="K144" s="2">
        <f t="shared" si="10"/>
        <v>10.028835903650949</v>
      </c>
      <c r="L144" s="2">
        <f t="shared" si="11"/>
        <v>6.7127186285729499</v>
      </c>
      <c r="M144" s="2">
        <f t="shared" si="12"/>
        <v>3.4942175196017198</v>
      </c>
      <c r="N144" s="2">
        <f t="shared" si="13"/>
        <v>3.0224086069914602</v>
      </c>
      <c r="O144" s="2">
        <f t="shared" si="14"/>
        <v>2.9222174778707979</v>
      </c>
    </row>
    <row r="145" spans="1:15" x14ac:dyDescent="0.4">
      <c r="A145" s="1">
        <v>43769</v>
      </c>
      <c r="B145" s="38">
        <v>3.6337327715463998</v>
      </c>
      <c r="C145" s="38">
        <v>8.8984369852306706</v>
      </c>
      <c r="D145" s="38">
        <v>5.4078101163799701</v>
      </c>
      <c r="E145" s="38">
        <v>6.78277406076168</v>
      </c>
      <c r="F145" s="38">
        <v>3.4608613722093402</v>
      </c>
      <c r="G145" s="38">
        <v>2.9183248242173701</v>
      </c>
      <c r="H145" s="38">
        <v>1.57537444511481</v>
      </c>
      <c r="I145" s="2">
        <f t="shared" ref="I145:I205" si="15">B145/B$16</f>
        <v>3.6337327715463998</v>
      </c>
      <c r="J145" s="2">
        <f t="shared" ref="J145:J205" si="16">C145/C$16</f>
        <v>8.8984369852306706</v>
      </c>
      <c r="K145" s="2">
        <f t="shared" ref="K145:K205" si="17">D145/D$16</f>
        <v>10.195188721925527</v>
      </c>
      <c r="L145" s="2">
        <f t="shared" ref="L145:L205" si="18">E145/E$16</f>
        <v>6.78277406076168</v>
      </c>
      <c r="M145" s="2">
        <f t="shared" ref="M145:M205" si="19">F145/F$16</f>
        <v>3.4608613722093402</v>
      </c>
      <c r="N145" s="2">
        <f t="shared" ref="N145:N205" si="20">G145/G$16</f>
        <v>2.9183248242173701</v>
      </c>
      <c r="O145" s="2">
        <f t="shared" ref="O145:O205" si="21">H145/H$16</f>
        <v>2.9129289040414506</v>
      </c>
    </row>
    <row r="146" spans="1:15" x14ac:dyDescent="0.4">
      <c r="A146" s="1">
        <v>43799</v>
      </c>
      <c r="B146" s="38">
        <v>3.5519762038269298</v>
      </c>
      <c r="C146" s="38">
        <v>8.9560866600476299</v>
      </c>
      <c r="D146" s="38">
        <v>5.24887857660676</v>
      </c>
      <c r="E146" s="38">
        <v>6.7874457529185603</v>
      </c>
      <c r="F146" s="38">
        <v>3.4047843377595601</v>
      </c>
      <c r="G146" s="38">
        <v>2.8595447957709101</v>
      </c>
      <c r="H146" s="38">
        <v>1.553575341191</v>
      </c>
      <c r="I146" s="2">
        <f t="shared" si="15"/>
        <v>3.5519762038269298</v>
      </c>
      <c r="J146" s="2">
        <f t="shared" si="16"/>
        <v>8.9560866600476299</v>
      </c>
      <c r="K146" s="2">
        <f t="shared" si="17"/>
        <v>9.8955596656193219</v>
      </c>
      <c r="L146" s="2">
        <f t="shared" si="18"/>
        <v>6.7874457529185603</v>
      </c>
      <c r="M146" s="2">
        <f t="shared" si="19"/>
        <v>3.4047843377595601</v>
      </c>
      <c r="N146" s="2">
        <f t="shared" si="20"/>
        <v>2.8595447957709101</v>
      </c>
      <c r="O146" s="2">
        <f t="shared" si="21"/>
        <v>2.8726215091241478</v>
      </c>
    </row>
    <row r="147" spans="1:15" x14ac:dyDescent="0.4">
      <c r="A147" s="1">
        <v>43830</v>
      </c>
      <c r="B147" s="38">
        <v>3.7095210944742298</v>
      </c>
      <c r="C147" s="38">
        <v>9.8055480261850398</v>
      </c>
      <c r="D147" s="38">
        <v>5.5477244674676198</v>
      </c>
      <c r="E147" s="38">
        <v>7.4284858810535299</v>
      </c>
      <c r="F147" s="38">
        <v>3.5922554687852699</v>
      </c>
      <c r="G147" s="38">
        <v>3.0988000589745299</v>
      </c>
      <c r="H147" s="38">
        <v>1.68660681387347</v>
      </c>
      <c r="I147" s="2">
        <f t="shared" si="15"/>
        <v>3.7095210944742298</v>
      </c>
      <c r="J147" s="2">
        <f t="shared" si="16"/>
        <v>9.8055480261850398</v>
      </c>
      <c r="K147" s="2">
        <f t="shared" si="17"/>
        <v>10.458965219906418</v>
      </c>
      <c r="L147" s="2">
        <f t="shared" si="18"/>
        <v>7.4284858810535299</v>
      </c>
      <c r="M147" s="2">
        <f t="shared" si="19"/>
        <v>3.5922554687852699</v>
      </c>
      <c r="N147" s="2">
        <f t="shared" si="20"/>
        <v>3.0988000589745299</v>
      </c>
      <c r="O147" s="2">
        <f t="shared" si="21"/>
        <v>3.1186019000881045</v>
      </c>
    </row>
    <row r="148" spans="1:15" x14ac:dyDescent="0.4">
      <c r="A148" s="1">
        <v>43861</v>
      </c>
      <c r="B148" s="38">
        <v>3.7984547689241199</v>
      </c>
      <c r="C148" s="38">
        <v>10.5240901989603</v>
      </c>
      <c r="D148" s="38">
        <v>5.42454405307085</v>
      </c>
      <c r="E148" s="38">
        <v>7.0592565960111502</v>
      </c>
      <c r="F148" s="38">
        <v>3.4704742678128202</v>
      </c>
      <c r="G148" s="38">
        <v>3.0317126373999899</v>
      </c>
      <c r="H148" s="38">
        <v>1.6877343684808499</v>
      </c>
      <c r="I148" s="2">
        <f t="shared" si="15"/>
        <v>3.7984547689241199</v>
      </c>
      <c r="J148" s="2">
        <f t="shared" si="16"/>
        <v>10.5240901989603</v>
      </c>
      <c r="K148" s="2">
        <f t="shared" si="17"/>
        <v>10.226736730999944</v>
      </c>
      <c r="L148" s="2">
        <f t="shared" si="18"/>
        <v>7.0592565960111502</v>
      </c>
      <c r="M148" s="2">
        <f t="shared" si="19"/>
        <v>3.4704742678128202</v>
      </c>
      <c r="N148" s="2">
        <f t="shared" si="20"/>
        <v>3.0317126373999899</v>
      </c>
      <c r="O148" s="2">
        <f t="shared" si="21"/>
        <v>3.1206867926143906</v>
      </c>
    </row>
    <row r="149" spans="1:15" x14ac:dyDescent="0.4">
      <c r="A149" s="1">
        <v>43890</v>
      </c>
      <c r="B149" s="38">
        <v>3.7813208186703098</v>
      </c>
      <c r="C149" s="38">
        <v>11.163073686976499</v>
      </c>
      <c r="D149" s="38">
        <v>5.2939024179728298</v>
      </c>
      <c r="E149" s="38">
        <v>6.8208333204349998</v>
      </c>
      <c r="F149" s="38">
        <v>3.1842952513754299</v>
      </c>
      <c r="G149" s="38">
        <v>3.0634047975031198</v>
      </c>
      <c r="H149" s="38">
        <v>1.69182326478944</v>
      </c>
      <c r="I149" s="2">
        <f t="shared" si="15"/>
        <v>3.7813208186703098</v>
      </c>
      <c r="J149" s="2">
        <f t="shared" si="16"/>
        <v>11.163073686976499</v>
      </c>
      <c r="K149" s="2">
        <f t="shared" si="17"/>
        <v>9.9804418175134408</v>
      </c>
      <c r="L149" s="2">
        <f t="shared" si="18"/>
        <v>6.8208333204349998</v>
      </c>
      <c r="M149" s="2">
        <f t="shared" si="19"/>
        <v>3.1842952513754299</v>
      </c>
      <c r="N149" s="2">
        <f t="shared" si="20"/>
        <v>3.0634047975031198</v>
      </c>
      <c r="O149" s="2">
        <f t="shared" si="21"/>
        <v>3.1282473216555053</v>
      </c>
    </row>
    <row r="150" spans="1:15" x14ac:dyDescent="0.4">
      <c r="A150" s="1">
        <v>43921</v>
      </c>
      <c r="B150" s="38">
        <v>3.80627537285535</v>
      </c>
      <c r="C150" s="38">
        <v>10.963067638365199</v>
      </c>
      <c r="D150" s="38">
        <v>5.5209171829732204</v>
      </c>
      <c r="E150" s="38">
        <v>6.2394708187725598</v>
      </c>
      <c r="F150" s="38">
        <v>2.9757971935815801</v>
      </c>
      <c r="G150" s="38">
        <v>3.0741287786037099</v>
      </c>
      <c r="H150" s="38">
        <v>1.59294567000087</v>
      </c>
      <c r="I150" s="2">
        <f t="shared" si="15"/>
        <v>3.80627537285535</v>
      </c>
      <c r="J150" s="2">
        <f t="shared" si="16"/>
        <v>10.963067638365199</v>
      </c>
      <c r="K150" s="2">
        <f t="shared" si="17"/>
        <v>10.408426218229025</v>
      </c>
      <c r="L150" s="2">
        <f t="shared" si="18"/>
        <v>6.2394708187725598</v>
      </c>
      <c r="M150" s="2">
        <f t="shared" si="19"/>
        <v>2.9757971935815801</v>
      </c>
      <c r="N150" s="2">
        <f t="shared" si="20"/>
        <v>3.0741287786037099</v>
      </c>
      <c r="O150" s="2">
        <f t="shared" si="21"/>
        <v>2.9454187854209128</v>
      </c>
    </row>
    <row r="151" spans="1:15" x14ac:dyDescent="0.4">
      <c r="A151" s="1">
        <v>43951</v>
      </c>
      <c r="B151" s="38">
        <v>3.9525991070226598</v>
      </c>
      <c r="C151" s="38">
        <v>11.3861984029383</v>
      </c>
      <c r="D151" s="38">
        <v>5.8487923952598297</v>
      </c>
      <c r="E151" s="38">
        <v>6.60514011883319</v>
      </c>
      <c r="F151" s="38">
        <v>3.0233147435223202</v>
      </c>
      <c r="G151" s="38">
        <v>2.9636142980563802</v>
      </c>
      <c r="H151" s="38">
        <v>1.6582436629110799</v>
      </c>
      <c r="I151" s="2">
        <f t="shared" si="15"/>
        <v>3.9525991070226598</v>
      </c>
      <c r="J151" s="2">
        <f t="shared" si="16"/>
        <v>11.3861984029383</v>
      </c>
      <c r="K151" s="2">
        <f t="shared" si="17"/>
        <v>11.026559916447896</v>
      </c>
      <c r="L151" s="2">
        <f t="shared" si="18"/>
        <v>6.60514011883319</v>
      </c>
      <c r="M151" s="2">
        <f t="shared" si="19"/>
        <v>3.0233147435223202</v>
      </c>
      <c r="N151" s="2">
        <f t="shared" si="20"/>
        <v>2.9636142980563802</v>
      </c>
      <c r="O151" s="2">
        <f t="shared" si="21"/>
        <v>3.0661573257177133</v>
      </c>
    </row>
    <row r="152" spans="1:15" x14ac:dyDescent="0.4">
      <c r="A152" s="1">
        <v>43982</v>
      </c>
      <c r="B152" s="38">
        <v>4.1685159235325902</v>
      </c>
      <c r="C152" s="38">
        <v>12.2031790435479</v>
      </c>
      <c r="D152" s="38">
        <v>6.1453589205535399</v>
      </c>
      <c r="E152" s="38">
        <v>6.8527565048482204</v>
      </c>
      <c r="F152" s="38">
        <v>3.0258412053591699</v>
      </c>
      <c r="G152" s="38">
        <v>2.9481226315619198</v>
      </c>
      <c r="H152" s="38">
        <v>1.69631750844465</v>
      </c>
      <c r="I152" s="2">
        <f t="shared" si="15"/>
        <v>4.1685159235325902</v>
      </c>
      <c r="J152" s="2">
        <f t="shared" si="16"/>
        <v>12.2031790435479</v>
      </c>
      <c r="K152" s="2">
        <f t="shared" si="17"/>
        <v>11.585668248454025</v>
      </c>
      <c r="L152" s="2">
        <f t="shared" si="18"/>
        <v>6.8527565048482204</v>
      </c>
      <c r="M152" s="2">
        <f t="shared" si="19"/>
        <v>3.0258412053591699</v>
      </c>
      <c r="N152" s="2">
        <f t="shared" si="20"/>
        <v>2.9481226315619198</v>
      </c>
      <c r="O152" s="2">
        <f t="shared" si="21"/>
        <v>3.1365573537787648</v>
      </c>
    </row>
    <row r="153" spans="1:15" x14ac:dyDescent="0.4">
      <c r="A153" s="1">
        <v>44012</v>
      </c>
      <c r="B153" s="38">
        <v>4.5334857979554704</v>
      </c>
      <c r="C153" s="38">
        <v>13.7352039182997</v>
      </c>
      <c r="D153" s="38">
        <v>6.5665073778855101</v>
      </c>
      <c r="E153" s="38">
        <v>7.2408097168585801</v>
      </c>
      <c r="F153" s="38">
        <v>3.12426137144926</v>
      </c>
      <c r="G153" s="38">
        <v>3.02905062856619</v>
      </c>
      <c r="H153" s="38">
        <v>1.81585035703</v>
      </c>
      <c r="I153" s="2">
        <f t="shared" si="15"/>
        <v>4.5334857979554704</v>
      </c>
      <c r="J153" s="2">
        <f t="shared" si="16"/>
        <v>13.7352039182997</v>
      </c>
      <c r="K153" s="2">
        <f t="shared" si="17"/>
        <v>12.379647310226531</v>
      </c>
      <c r="L153" s="2">
        <f t="shared" si="18"/>
        <v>7.2408097168585801</v>
      </c>
      <c r="M153" s="2">
        <f t="shared" si="19"/>
        <v>3.12426137144926</v>
      </c>
      <c r="N153" s="2">
        <f t="shared" si="20"/>
        <v>3.02905062856619</v>
      </c>
      <c r="O153" s="2">
        <f t="shared" si="21"/>
        <v>3.3575782613518217</v>
      </c>
    </row>
    <row r="154" spans="1:15" x14ac:dyDescent="0.4">
      <c r="A154" s="1">
        <v>44043</v>
      </c>
      <c r="B154" s="38">
        <v>5.0720554066533197</v>
      </c>
      <c r="C154" s="38">
        <v>16.367852024442598</v>
      </c>
      <c r="D154" s="38">
        <v>7.8818995285220801</v>
      </c>
      <c r="E154" s="38">
        <v>8.3619873976607195</v>
      </c>
      <c r="F154" s="38">
        <v>3.3018974760856601</v>
      </c>
      <c r="G154" s="38">
        <v>3.3815395535937798</v>
      </c>
      <c r="H154" s="38">
        <v>2.0731462114986901</v>
      </c>
      <c r="I154" s="2">
        <f t="shared" si="15"/>
        <v>5.0720554066533197</v>
      </c>
      <c r="J154" s="2">
        <f t="shared" si="16"/>
        <v>16.367852024442598</v>
      </c>
      <c r="K154" s="2">
        <f t="shared" si="17"/>
        <v>14.859518261771059</v>
      </c>
      <c r="L154" s="2">
        <f t="shared" si="18"/>
        <v>8.3619873976607195</v>
      </c>
      <c r="M154" s="2">
        <f t="shared" si="19"/>
        <v>3.3018974760856601</v>
      </c>
      <c r="N154" s="2">
        <f t="shared" si="20"/>
        <v>3.3815395535937798</v>
      </c>
      <c r="O154" s="2">
        <f t="shared" si="21"/>
        <v>3.8333283496536974</v>
      </c>
    </row>
    <row r="155" spans="1:15" x14ac:dyDescent="0.4">
      <c r="A155" s="1">
        <v>44074</v>
      </c>
      <c r="B155" s="38">
        <v>4.9745582616203503</v>
      </c>
      <c r="C155" s="38">
        <v>17.544023915227701</v>
      </c>
      <c r="D155" s="38">
        <v>8.73502161207767</v>
      </c>
      <c r="E155" s="38">
        <v>8.6549548013314794</v>
      </c>
      <c r="F155" s="38">
        <v>3.3938867271692801</v>
      </c>
      <c r="G155" s="38">
        <v>3.44927810193595</v>
      </c>
      <c r="H155" s="38">
        <v>2.1276127407118302</v>
      </c>
      <c r="I155" s="2">
        <f t="shared" si="15"/>
        <v>4.9745582616203503</v>
      </c>
      <c r="J155" s="2">
        <f t="shared" si="16"/>
        <v>17.544023915227701</v>
      </c>
      <c r="K155" s="2">
        <f t="shared" si="17"/>
        <v>16.467884764571622</v>
      </c>
      <c r="L155" s="2">
        <f t="shared" si="18"/>
        <v>8.6549548013314794</v>
      </c>
      <c r="M155" s="2">
        <f t="shared" si="19"/>
        <v>3.3938867271692801</v>
      </c>
      <c r="N155" s="2">
        <f t="shared" si="20"/>
        <v>3.44927810193595</v>
      </c>
      <c r="O155" s="2">
        <f t="shared" si="21"/>
        <v>3.9340390903539579</v>
      </c>
    </row>
    <row r="156" spans="1:15" x14ac:dyDescent="0.4">
      <c r="A156" s="1">
        <v>44104</v>
      </c>
      <c r="B156" s="38">
        <v>4.6386003855766003</v>
      </c>
      <c r="C156" s="38">
        <v>15.8296056755572</v>
      </c>
      <c r="D156" s="38">
        <v>8.0058356929971897</v>
      </c>
      <c r="E156" s="38">
        <v>7.9861264680497897</v>
      </c>
      <c r="F156" s="38">
        <v>3.1191594590817902</v>
      </c>
      <c r="G156" s="38">
        <v>3.1850999841835002</v>
      </c>
      <c r="H156" s="38">
        <v>1.9935999529677799</v>
      </c>
      <c r="I156" s="2">
        <f t="shared" si="15"/>
        <v>4.6386003855766003</v>
      </c>
      <c r="J156" s="2">
        <f t="shared" si="16"/>
        <v>15.8296056755572</v>
      </c>
      <c r="K156" s="2">
        <f t="shared" si="17"/>
        <v>15.093171544542233</v>
      </c>
      <c r="L156" s="2">
        <f t="shared" si="18"/>
        <v>7.9861264680497897</v>
      </c>
      <c r="M156" s="2">
        <f t="shared" si="19"/>
        <v>3.1191594590817902</v>
      </c>
      <c r="N156" s="2">
        <f t="shared" si="20"/>
        <v>3.1850999841835002</v>
      </c>
      <c r="O156" s="2">
        <f t="shared" si="21"/>
        <v>3.6862442094979548</v>
      </c>
    </row>
    <row r="157" spans="1:15" x14ac:dyDescent="0.4">
      <c r="A157" s="1">
        <v>44135</v>
      </c>
      <c r="B157" s="38">
        <v>4.6658449181324597</v>
      </c>
      <c r="C157" s="38">
        <v>16.796557150373399</v>
      </c>
      <c r="D157" s="38">
        <v>8.1863622341411997</v>
      </c>
      <c r="E157" s="38">
        <v>7.8844847455492504</v>
      </c>
      <c r="F157" s="38">
        <v>3.0361631508167601</v>
      </c>
      <c r="G157" s="38">
        <v>3.3243407817277002</v>
      </c>
      <c r="H157" s="38">
        <v>2.0110221072735301</v>
      </c>
      <c r="I157" s="2">
        <f t="shared" si="15"/>
        <v>4.6658449181324597</v>
      </c>
      <c r="J157" s="2">
        <f t="shared" si="16"/>
        <v>16.796557150373399</v>
      </c>
      <c r="K157" s="2">
        <f t="shared" si="17"/>
        <v>15.433513035214188</v>
      </c>
      <c r="L157" s="2">
        <f t="shared" si="18"/>
        <v>7.8844847455492504</v>
      </c>
      <c r="M157" s="2">
        <f t="shared" si="19"/>
        <v>3.0361631508167601</v>
      </c>
      <c r="N157" s="2">
        <f t="shared" si="20"/>
        <v>3.3243407817277002</v>
      </c>
      <c r="O157" s="2">
        <f t="shared" si="21"/>
        <v>3.7184584535497502</v>
      </c>
    </row>
    <row r="158" spans="1:15" x14ac:dyDescent="0.4">
      <c r="A158" s="1">
        <v>44165</v>
      </c>
      <c r="B158" s="38">
        <v>5.2167609985310799</v>
      </c>
      <c r="C158" s="38">
        <v>16.506024590184499</v>
      </c>
      <c r="D158" s="38">
        <v>8.7803057761466192</v>
      </c>
      <c r="E158" s="38">
        <v>8.3940756260123894</v>
      </c>
      <c r="F158" s="38">
        <v>3.1685217919200102</v>
      </c>
      <c r="G158" s="38">
        <v>3.5744697697379899</v>
      </c>
      <c r="H158" s="38">
        <v>2.0973845894523402</v>
      </c>
      <c r="I158" s="2">
        <f t="shared" si="15"/>
        <v>5.2167609985310799</v>
      </c>
      <c r="J158" s="2">
        <f t="shared" si="16"/>
        <v>16.506024590184499</v>
      </c>
      <c r="K158" s="2">
        <f t="shared" si="17"/>
        <v>16.553257695362809</v>
      </c>
      <c r="L158" s="2">
        <f t="shared" si="18"/>
        <v>8.3940756260123894</v>
      </c>
      <c r="M158" s="2">
        <f t="shared" si="19"/>
        <v>3.1685217919200102</v>
      </c>
      <c r="N158" s="2">
        <f t="shared" si="20"/>
        <v>3.5744697697379899</v>
      </c>
      <c r="O158" s="2">
        <f t="shared" si="21"/>
        <v>3.878146057562577</v>
      </c>
    </row>
    <row r="159" spans="1:15" x14ac:dyDescent="0.4">
      <c r="A159" s="1">
        <v>44196</v>
      </c>
      <c r="B159" s="38">
        <v>5.74701626623877</v>
      </c>
      <c r="C159" s="38">
        <v>17.714330003886602</v>
      </c>
      <c r="D159" s="38">
        <v>9.6540238808645196</v>
      </c>
      <c r="E159" s="38">
        <v>7.7937631294616097</v>
      </c>
      <c r="F159" s="38">
        <v>3.0036701617692501</v>
      </c>
      <c r="G159" s="38">
        <v>3.4250674162446701</v>
      </c>
      <c r="H159" s="38">
        <v>2.1175665560822199</v>
      </c>
      <c r="I159" s="2">
        <f t="shared" si="15"/>
        <v>5.74701626623877</v>
      </c>
      <c r="J159" s="2">
        <f t="shared" si="16"/>
        <v>17.714330003886602</v>
      </c>
      <c r="K159" s="2">
        <f t="shared" si="17"/>
        <v>18.200453283902625</v>
      </c>
      <c r="L159" s="2">
        <f t="shared" si="18"/>
        <v>7.7937631294616097</v>
      </c>
      <c r="M159" s="2">
        <f t="shared" si="19"/>
        <v>3.0036701617692501</v>
      </c>
      <c r="N159" s="2">
        <f t="shared" si="20"/>
        <v>3.4250674162446701</v>
      </c>
      <c r="O159" s="2">
        <f t="shared" si="21"/>
        <v>3.9154633024365677</v>
      </c>
    </row>
    <row r="160" spans="1:15" x14ac:dyDescent="0.4">
      <c r="A160" s="1">
        <v>44227</v>
      </c>
      <c r="B160" s="38">
        <v>6.3056662505422203</v>
      </c>
      <c r="C160" s="38">
        <v>18.602871279097599</v>
      </c>
      <c r="D160" s="38">
        <v>10.358262357396301</v>
      </c>
      <c r="E160" s="38">
        <v>7.3025902125102702</v>
      </c>
      <c r="F160" s="38">
        <v>2.8276195955835099</v>
      </c>
      <c r="G160" s="38">
        <v>2.9520652820578999</v>
      </c>
      <c r="H160" s="38">
        <v>2.0734684452535102</v>
      </c>
      <c r="I160" s="2">
        <f t="shared" si="15"/>
        <v>6.3056662505422203</v>
      </c>
      <c r="J160" s="2">
        <f t="shared" si="16"/>
        <v>18.602871279097599</v>
      </c>
      <c r="K160" s="2">
        <f t="shared" si="17"/>
        <v>19.528133808730129</v>
      </c>
      <c r="L160" s="2">
        <f t="shared" si="18"/>
        <v>7.3025902125102702</v>
      </c>
      <c r="M160" s="2">
        <f t="shared" si="19"/>
        <v>2.8276195955835099</v>
      </c>
      <c r="N160" s="2">
        <f t="shared" si="20"/>
        <v>2.9520652820578999</v>
      </c>
      <c r="O160" s="2">
        <f t="shared" si="21"/>
        <v>3.8339241724570852</v>
      </c>
    </row>
    <row r="161" spans="1:15" x14ac:dyDescent="0.4">
      <c r="A161" s="1">
        <v>44255</v>
      </c>
      <c r="B161" s="38">
        <v>5.9536677297178597</v>
      </c>
      <c r="C161" s="38">
        <v>17.939320187328899</v>
      </c>
      <c r="D161" s="38">
        <v>9.5111165240830999</v>
      </c>
      <c r="E161" s="38">
        <v>7.8262496992448298</v>
      </c>
      <c r="F161" s="38">
        <v>2.9506543909433098</v>
      </c>
      <c r="G161" s="38">
        <v>3.0040945008098401</v>
      </c>
      <c r="H161" s="38">
        <v>2.1057213930993099</v>
      </c>
      <c r="I161" s="2">
        <f t="shared" si="15"/>
        <v>5.9536677297178597</v>
      </c>
      <c r="J161" s="2">
        <f t="shared" si="16"/>
        <v>17.939320187328899</v>
      </c>
      <c r="K161" s="2">
        <f t="shared" si="17"/>
        <v>17.931034158455702</v>
      </c>
      <c r="L161" s="2">
        <f t="shared" si="18"/>
        <v>7.8262496992448298</v>
      </c>
      <c r="M161" s="2">
        <f t="shared" si="19"/>
        <v>2.9506543909433098</v>
      </c>
      <c r="N161" s="2">
        <f t="shared" si="20"/>
        <v>3.0040945008098401</v>
      </c>
      <c r="O161" s="2">
        <f t="shared" si="21"/>
        <v>3.8935611332519677</v>
      </c>
    </row>
    <row r="162" spans="1:15" x14ac:dyDescent="0.4">
      <c r="A162" s="1">
        <v>44286</v>
      </c>
      <c r="B162" s="38">
        <v>6.0781209446267397</v>
      </c>
      <c r="C162" s="38">
        <v>18.7048359267481</v>
      </c>
      <c r="D162" s="38">
        <v>9.29526107496668</v>
      </c>
      <c r="E162" s="38">
        <v>7.9191897115524803</v>
      </c>
      <c r="F162" s="38">
        <v>3.0072871597143802</v>
      </c>
      <c r="G162" s="38">
        <v>3.5201089032333899</v>
      </c>
      <c r="H162" s="38">
        <v>2.0830880510557899</v>
      </c>
      <c r="I162" s="2">
        <f t="shared" si="15"/>
        <v>6.0781209446267397</v>
      </c>
      <c r="J162" s="2">
        <f t="shared" si="16"/>
        <v>18.7048359267481</v>
      </c>
      <c r="K162" s="2">
        <f t="shared" si="17"/>
        <v>17.524088094700222</v>
      </c>
      <c r="L162" s="2">
        <f t="shared" si="18"/>
        <v>7.9191897115524803</v>
      </c>
      <c r="M162" s="2">
        <f t="shared" si="19"/>
        <v>3.0072871597143802</v>
      </c>
      <c r="N162" s="2">
        <f t="shared" si="20"/>
        <v>3.5201089032333899</v>
      </c>
      <c r="O162" s="2">
        <f t="shared" si="21"/>
        <v>3.8517111994549129</v>
      </c>
    </row>
    <row r="163" spans="1:15" x14ac:dyDescent="0.4">
      <c r="A163" s="1">
        <v>44316</v>
      </c>
      <c r="B163" s="38">
        <v>6.5713595795810802</v>
      </c>
      <c r="C163" s="38">
        <v>20.6063188118491</v>
      </c>
      <c r="D163" s="38">
        <v>9.8406712228231399</v>
      </c>
      <c r="E163" s="38">
        <v>7.89522016053313</v>
      </c>
      <c r="F163" s="38">
        <v>2.97951772943515</v>
      </c>
      <c r="G163" s="38">
        <v>3.3677451761566601</v>
      </c>
      <c r="H163" s="38">
        <v>2.1189174288531301</v>
      </c>
      <c r="I163" s="2">
        <f t="shared" si="15"/>
        <v>6.5713595795810802</v>
      </c>
      <c r="J163" s="2">
        <f t="shared" si="16"/>
        <v>20.6063188118491</v>
      </c>
      <c r="K163" s="2">
        <f t="shared" si="17"/>
        <v>18.552334144132924</v>
      </c>
      <c r="L163" s="2">
        <f t="shared" si="18"/>
        <v>7.89522016053313</v>
      </c>
      <c r="M163" s="2">
        <f t="shared" si="19"/>
        <v>2.97951772943515</v>
      </c>
      <c r="N163" s="2">
        <f t="shared" si="20"/>
        <v>3.3677451761566601</v>
      </c>
      <c r="O163" s="2">
        <f t="shared" si="21"/>
        <v>3.917961118972991</v>
      </c>
    </row>
    <row r="164" spans="1:15" x14ac:dyDescent="0.4">
      <c r="A164" s="1">
        <v>44347</v>
      </c>
      <c r="B164" s="38">
        <v>6.89900394266476</v>
      </c>
      <c r="C164" s="38">
        <v>22.363340467458499</v>
      </c>
      <c r="D164" s="38">
        <v>10.442015660539001</v>
      </c>
      <c r="E164" s="38">
        <v>7.77392600280427</v>
      </c>
      <c r="F164" s="38">
        <v>3.1290548053330398</v>
      </c>
      <c r="G164" s="38">
        <v>3.7345671355941499</v>
      </c>
      <c r="H164" s="38">
        <v>2.2301918397309701</v>
      </c>
      <c r="I164" s="2">
        <f t="shared" si="15"/>
        <v>6.89900394266476</v>
      </c>
      <c r="J164" s="2">
        <f t="shared" si="16"/>
        <v>22.363340467458499</v>
      </c>
      <c r="K164" s="2">
        <f t="shared" si="17"/>
        <v>19.686031499893154</v>
      </c>
      <c r="L164" s="2">
        <f t="shared" si="18"/>
        <v>7.77392600280427</v>
      </c>
      <c r="M164" s="2">
        <f t="shared" si="19"/>
        <v>3.1290548053330398</v>
      </c>
      <c r="N164" s="2">
        <f t="shared" si="20"/>
        <v>3.7345671355941499</v>
      </c>
      <c r="O164" s="2">
        <f t="shared" si="21"/>
        <v>4.1237118525407324</v>
      </c>
    </row>
    <row r="165" spans="1:15" x14ac:dyDescent="0.4">
      <c r="A165" s="1">
        <v>44377</v>
      </c>
      <c r="B165" s="38">
        <v>6.98932070921974</v>
      </c>
      <c r="C165" s="38">
        <v>23.8281753226325</v>
      </c>
      <c r="D165" s="38">
        <v>10.193903108863999</v>
      </c>
      <c r="E165" s="38">
        <v>7.4441942002662804</v>
      </c>
      <c r="F165" s="38">
        <v>3.1226792894175799</v>
      </c>
      <c r="G165" s="38">
        <v>3.7971214741509001</v>
      </c>
      <c r="H165" s="38">
        <v>2.2767182236536798</v>
      </c>
      <c r="I165" s="2">
        <f t="shared" si="15"/>
        <v>6.98932070921974</v>
      </c>
      <c r="J165" s="2">
        <f t="shared" si="16"/>
        <v>23.8281753226325</v>
      </c>
      <c r="K165" s="2">
        <f t="shared" si="17"/>
        <v>19.218272049363772</v>
      </c>
      <c r="L165" s="2">
        <f t="shared" si="18"/>
        <v>7.4441942002662804</v>
      </c>
      <c r="M165" s="2">
        <f t="shared" si="19"/>
        <v>3.1226792894175799</v>
      </c>
      <c r="N165" s="2">
        <f t="shared" si="20"/>
        <v>3.7971214741509001</v>
      </c>
      <c r="O165" s="2">
        <f t="shared" si="21"/>
        <v>4.20974095435158</v>
      </c>
    </row>
    <row r="166" spans="1:15" x14ac:dyDescent="0.4">
      <c r="A166" s="1">
        <v>44408</v>
      </c>
      <c r="B166" s="38">
        <v>8.0634524958857803</v>
      </c>
      <c r="C166" s="38">
        <v>23.519280281708099</v>
      </c>
      <c r="D166" s="38">
        <v>9.19817203441918</v>
      </c>
      <c r="E166" s="38">
        <v>6.6802715850531502</v>
      </c>
      <c r="F166" s="38">
        <v>2.9199100844093602</v>
      </c>
      <c r="G166" s="38">
        <v>3.61397013296089</v>
      </c>
      <c r="H166" s="38">
        <v>2.27943811504066</v>
      </c>
      <c r="I166" s="2">
        <f t="shared" si="15"/>
        <v>8.0634524958857803</v>
      </c>
      <c r="J166" s="2">
        <f t="shared" si="16"/>
        <v>23.519280281708099</v>
      </c>
      <c r="K166" s="2">
        <f t="shared" si="17"/>
        <v>17.341048921742896</v>
      </c>
      <c r="L166" s="2">
        <f t="shared" si="18"/>
        <v>6.6802715850531502</v>
      </c>
      <c r="M166" s="2">
        <f t="shared" si="19"/>
        <v>2.9199100844093602</v>
      </c>
      <c r="N166" s="2">
        <f t="shared" si="20"/>
        <v>3.61397013296089</v>
      </c>
      <c r="O166" s="2">
        <f t="shared" si="21"/>
        <v>4.2147701398011455</v>
      </c>
    </row>
    <row r="167" spans="1:15" x14ac:dyDescent="0.4">
      <c r="A167" s="1">
        <v>44439</v>
      </c>
      <c r="B167" s="38">
        <v>8.8082049649849008</v>
      </c>
      <c r="C167" s="38">
        <v>24.095996738052101</v>
      </c>
      <c r="D167" s="38">
        <v>8.7893957029718592</v>
      </c>
      <c r="E167" s="38">
        <v>7.0190712368289603</v>
      </c>
      <c r="F167" s="38">
        <v>3.2058225451140698</v>
      </c>
      <c r="G167" s="38">
        <v>3.8671780119945498</v>
      </c>
      <c r="H167" s="38">
        <v>2.4376143022855898</v>
      </c>
      <c r="I167" s="2">
        <f t="shared" si="15"/>
        <v>8.8082049649849008</v>
      </c>
      <c r="J167" s="2">
        <f t="shared" si="16"/>
        <v>24.095996738052101</v>
      </c>
      <c r="K167" s="2">
        <f t="shared" si="17"/>
        <v>16.570394672708058</v>
      </c>
      <c r="L167" s="2">
        <f t="shared" si="18"/>
        <v>7.0190712368289603</v>
      </c>
      <c r="M167" s="2">
        <f t="shared" si="19"/>
        <v>3.2058225451140698</v>
      </c>
      <c r="N167" s="2">
        <f t="shared" si="20"/>
        <v>3.8671780119945498</v>
      </c>
      <c r="O167" s="2">
        <f t="shared" si="21"/>
        <v>4.5072440904772018</v>
      </c>
    </row>
    <row r="168" spans="1:15" x14ac:dyDescent="0.4">
      <c r="A168" s="1">
        <v>44469</v>
      </c>
      <c r="B168" s="38">
        <v>8.1523326355348793</v>
      </c>
      <c r="C168" s="38">
        <v>24.7778080640905</v>
      </c>
      <c r="D168" s="38">
        <v>8.8364307579954406</v>
      </c>
      <c r="E168" s="38">
        <v>7.1006313244949304</v>
      </c>
      <c r="F168" s="38">
        <v>3.5747730304754102</v>
      </c>
      <c r="G168" s="38">
        <v>3.98128398064412</v>
      </c>
      <c r="H168" s="38">
        <v>2.38172166750963</v>
      </c>
      <c r="I168" s="2">
        <f t="shared" si="15"/>
        <v>8.1523326355348793</v>
      </c>
      <c r="J168" s="2">
        <f t="shared" si="16"/>
        <v>24.7778080640905</v>
      </c>
      <c r="K168" s="2">
        <f t="shared" si="17"/>
        <v>16.65906850780798</v>
      </c>
      <c r="L168" s="2">
        <f t="shared" si="18"/>
        <v>7.1006313244949304</v>
      </c>
      <c r="M168" s="2">
        <f t="shared" si="19"/>
        <v>3.5747730304754102</v>
      </c>
      <c r="N168" s="2">
        <f t="shared" si="20"/>
        <v>3.98128398064412</v>
      </c>
      <c r="O168" s="2">
        <f t="shared" si="21"/>
        <v>4.4038964248686865</v>
      </c>
    </row>
    <row r="169" spans="1:15" x14ac:dyDescent="0.4">
      <c r="A169" s="1">
        <v>44500</v>
      </c>
      <c r="B169" s="38">
        <v>8.7893918741370101</v>
      </c>
      <c r="C169" s="38">
        <v>23.179048456374201</v>
      </c>
      <c r="D169" s="38">
        <v>9.1516852798129005</v>
      </c>
      <c r="E169" s="38">
        <v>6.9386675719904698</v>
      </c>
      <c r="F169" s="38">
        <v>3.4393467800560602</v>
      </c>
      <c r="G169" s="38">
        <v>3.7571407038838101</v>
      </c>
      <c r="H169" s="38">
        <v>2.3626422730164802</v>
      </c>
      <c r="I169" s="2">
        <f t="shared" si="15"/>
        <v>8.7893918741370101</v>
      </c>
      <c r="J169" s="2">
        <f t="shared" si="16"/>
        <v>23.179048456374201</v>
      </c>
      <c r="K169" s="2">
        <f t="shared" si="17"/>
        <v>17.253408781634185</v>
      </c>
      <c r="L169" s="2">
        <f t="shared" si="18"/>
        <v>6.9386675719904698</v>
      </c>
      <c r="M169" s="2">
        <f t="shared" si="19"/>
        <v>3.4393467800560602</v>
      </c>
      <c r="N169" s="2">
        <f t="shared" si="20"/>
        <v>3.7571407038838101</v>
      </c>
      <c r="O169" s="2">
        <f t="shared" si="21"/>
        <v>4.368617878956603</v>
      </c>
    </row>
    <row r="170" spans="1:15" x14ac:dyDescent="0.4">
      <c r="A170" s="1">
        <v>44530</v>
      </c>
      <c r="B170" s="38">
        <v>9.0699469005933899</v>
      </c>
      <c r="C170" s="38">
        <v>23.122745820370199</v>
      </c>
      <c r="D170" s="38">
        <v>8.8755216839613702</v>
      </c>
      <c r="E170" s="38">
        <v>7.2078200686713902</v>
      </c>
      <c r="F170" s="38">
        <v>3.3701443978055301</v>
      </c>
      <c r="G170" s="38">
        <v>4.2183562565268797</v>
      </c>
      <c r="H170" s="38">
        <v>2.4864281103645598</v>
      </c>
      <c r="I170" s="2">
        <f t="shared" si="15"/>
        <v>9.0699469005933899</v>
      </c>
      <c r="J170" s="2">
        <f t="shared" si="16"/>
        <v>23.122745820370199</v>
      </c>
      <c r="K170" s="2">
        <f t="shared" si="17"/>
        <v>16.732765505106446</v>
      </c>
      <c r="L170" s="2">
        <f t="shared" si="18"/>
        <v>7.2078200686713902</v>
      </c>
      <c r="M170" s="2">
        <f t="shared" si="19"/>
        <v>3.3701443978055301</v>
      </c>
      <c r="N170" s="2">
        <f t="shared" si="20"/>
        <v>4.2183562565268797</v>
      </c>
      <c r="O170" s="2">
        <f t="shared" si="21"/>
        <v>4.5975027289301069</v>
      </c>
    </row>
    <row r="171" spans="1:15" x14ac:dyDescent="0.4">
      <c r="A171" s="1">
        <v>44561</v>
      </c>
      <c r="B171" s="38">
        <v>8.8303334237576703</v>
      </c>
      <c r="C171" s="38">
        <v>20.9011451324494</v>
      </c>
      <c r="D171" s="38">
        <v>9.2326705321003004</v>
      </c>
      <c r="E171" s="38">
        <v>7.7434040886306104</v>
      </c>
      <c r="F171" s="38">
        <v>3.5936151583662901</v>
      </c>
      <c r="G171" s="38">
        <v>4.4774795107361296</v>
      </c>
      <c r="H171" s="38">
        <v>2.53460715568175</v>
      </c>
      <c r="I171" s="2">
        <f t="shared" si="15"/>
        <v>8.8303334237576703</v>
      </c>
      <c r="J171" s="2">
        <f t="shared" si="16"/>
        <v>20.9011451324494</v>
      </c>
      <c r="K171" s="2">
        <f t="shared" si="17"/>
        <v>17.406087946211709</v>
      </c>
      <c r="L171" s="2">
        <f t="shared" si="18"/>
        <v>7.7434040886306104</v>
      </c>
      <c r="M171" s="2">
        <f t="shared" si="19"/>
        <v>3.5936151583662901</v>
      </c>
      <c r="N171" s="2">
        <f t="shared" si="20"/>
        <v>4.4774795107361296</v>
      </c>
      <c r="O171" s="2">
        <f t="shared" si="21"/>
        <v>4.6865876662342272</v>
      </c>
    </row>
    <row r="172" spans="1:15" x14ac:dyDescent="0.4">
      <c r="A172" s="1">
        <v>44592</v>
      </c>
      <c r="B172" s="38">
        <v>8.0986887879756306</v>
      </c>
      <c r="C172" s="38">
        <v>18.457544585252201</v>
      </c>
      <c r="D172" s="38">
        <v>8.3420169396929893</v>
      </c>
      <c r="E172" s="38">
        <v>7.1401828367817304</v>
      </c>
      <c r="F172" s="38">
        <v>3.4496954174166299</v>
      </c>
      <c r="G172" s="38">
        <v>4.2446203240851101</v>
      </c>
      <c r="H172" s="38">
        <v>2.2910123468323298</v>
      </c>
      <c r="I172" s="2">
        <f t="shared" si="15"/>
        <v>8.0986887879756306</v>
      </c>
      <c r="J172" s="2">
        <f t="shared" si="16"/>
        <v>18.457544585252201</v>
      </c>
      <c r="K172" s="2">
        <f t="shared" si="17"/>
        <v>15.726964370302586</v>
      </c>
      <c r="L172" s="2">
        <f t="shared" si="18"/>
        <v>7.1401828367817304</v>
      </c>
      <c r="M172" s="2">
        <f t="shared" si="19"/>
        <v>3.4496954174166299</v>
      </c>
      <c r="N172" s="2">
        <f t="shared" si="20"/>
        <v>4.2446203240851101</v>
      </c>
      <c r="O172" s="2">
        <f t="shared" si="21"/>
        <v>4.2361713466269757</v>
      </c>
    </row>
    <row r="173" spans="1:15" x14ac:dyDescent="0.4">
      <c r="A173" s="1">
        <v>44620</v>
      </c>
      <c r="B173" s="38">
        <v>8.3315200677667107</v>
      </c>
      <c r="C173" s="38">
        <v>19.148089827698499</v>
      </c>
      <c r="D173" s="38">
        <v>8.6517378545553907</v>
      </c>
      <c r="E173" s="38">
        <v>7.4234157896444701</v>
      </c>
      <c r="F173" s="38">
        <v>3.6622621029123001</v>
      </c>
      <c r="G173" s="38">
        <v>4.3814011346853201</v>
      </c>
      <c r="H173" s="38">
        <v>2.3808332122226998</v>
      </c>
      <c r="I173" s="2">
        <f t="shared" si="15"/>
        <v>8.3315200677667107</v>
      </c>
      <c r="J173" s="2">
        <f t="shared" si="16"/>
        <v>19.148089827698499</v>
      </c>
      <c r="K173" s="2">
        <f t="shared" si="17"/>
        <v>16.310872294248586</v>
      </c>
      <c r="L173" s="2">
        <f t="shared" si="18"/>
        <v>7.4234157896444701</v>
      </c>
      <c r="M173" s="2">
        <f t="shared" si="19"/>
        <v>3.6622621029123001</v>
      </c>
      <c r="N173" s="2">
        <f t="shared" si="20"/>
        <v>4.3814011346853201</v>
      </c>
      <c r="O173" s="2">
        <f t="shared" si="21"/>
        <v>4.4022536363283029</v>
      </c>
    </row>
    <row r="174" spans="1:15" x14ac:dyDescent="0.4">
      <c r="A174" s="1">
        <v>44651</v>
      </c>
      <c r="B174" s="38">
        <v>7.4018609061352203</v>
      </c>
      <c r="C174" s="38">
        <v>17.2161379801233</v>
      </c>
      <c r="D174" s="38">
        <v>8.1124860448758298</v>
      </c>
      <c r="E174" s="38">
        <v>6.99140283825668</v>
      </c>
      <c r="F174" s="38">
        <v>3.6543456432969901</v>
      </c>
      <c r="G174" s="38">
        <v>4.4567567822284397</v>
      </c>
      <c r="H174" s="38">
        <v>2.20934355307811</v>
      </c>
      <c r="I174" s="2">
        <f t="shared" si="15"/>
        <v>7.4018609061352203</v>
      </c>
      <c r="J174" s="2">
        <f t="shared" si="16"/>
        <v>17.2161379801233</v>
      </c>
      <c r="K174" s="2">
        <f t="shared" si="17"/>
        <v>15.294236382482653</v>
      </c>
      <c r="L174" s="2">
        <f t="shared" si="18"/>
        <v>6.99140283825668</v>
      </c>
      <c r="M174" s="2">
        <f t="shared" si="19"/>
        <v>3.6543456432969901</v>
      </c>
      <c r="N174" s="2">
        <f t="shared" si="20"/>
        <v>4.4567567822284397</v>
      </c>
      <c r="O174" s="2">
        <f t="shared" si="21"/>
        <v>4.0851625559089513</v>
      </c>
    </row>
    <row r="175" spans="1:15" x14ac:dyDescent="0.4">
      <c r="A175" s="1">
        <v>44681</v>
      </c>
      <c r="B175" s="38">
        <v>6.55696259050353</v>
      </c>
      <c r="C175" s="38">
        <v>13.9469243740858</v>
      </c>
      <c r="D175" s="38">
        <v>7.75679006079522</v>
      </c>
      <c r="E175" s="38">
        <v>6.3172902364183301</v>
      </c>
      <c r="F175" s="38">
        <v>3.44736085276551</v>
      </c>
      <c r="G175" s="38">
        <v>3.8283750290199801</v>
      </c>
      <c r="H175" s="38">
        <v>1.96190638520012</v>
      </c>
      <c r="I175" s="2">
        <f t="shared" si="15"/>
        <v>6.55696259050353</v>
      </c>
      <c r="J175" s="2">
        <f t="shared" si="16"/>
        <v>13.9469243740858</v>
      </c>
      <c r="K175" s="2">
        <f t="shared" si="17"/>
        <v>14.623652984158682</v>
      </c>
      <c r="L175" s="2">
        <f t="shared" si="18"/>
        <v>6.3172902364183301</v>
      </c>
      <c r="M175" s="2">
        <f t="shared" si="19"/>
        <v>3.44736085276551</v>
      </c>
      <c r="N175" s="2">
        <f t="shared" si="20"/>
        <v>3.8283750290199801</v>
      </c>
      <c r="O175" s="2">
        <f t="shared" si="21"/>
        <v>3.6276415643243594</v>
      </c>
    </row>
    <row r="176" spans="1:15" x14ac:dyDescent="0.4">
      <c r="A176" s="1">
        <v>44712</v>
      </c>
      <c r="B176" s="38">
        <v>7.3465580084772402</v>
      </c>
      <c r="C176" s="38">
        <v>14.5900756944198</v>
      </c>
      <c r="D176" s="38">
        <v>7.9476659899580699</v>
      </c>
      <c r="E176" s="38">
        <v>6.6577336573157604</v>
      </c>
      <c r="F176" s="38">
        <v>3.5952241499447202</v>
      </c>
      <c r="G176" s="38">
        <v>4.1252224030423301</v>
      </c>
      <c r="H176" s="38">
        <v>2.1330958160905098</v>
      </c>
      <c r="I176" s="2">
        <f t="shared" si="15"/>
        <v>7.3465580084772402</v>
      </c>
      <c r="J176" s="2">
        <f t="shared" si="16"/>
        <v>14.5900756944198</v>
      </c>
      <c r="K176" s="2">
        <f t="shared" si="17"/>
        <v>14.983505878104378</v>
      </c>
      <c r="L176" s="2">
        <f t="shared" si="18"/>
        <v>6.6577336573157604</v>
      </c>
      <c r="M176" s="2">
        <f t="shared" si="19"/>
        <v>3.5952241499447202</v>
      </c>
      <c r="N176" s="2">
        <f t="shared" si="20"/>
        <v>4.1252224030423301</v>
      </c>
      <c r="O176" s="2">
        <f t="shared" si="21"/>
        <v>3.9441775109707971</v>
      </c>
    </row>
    <row r="177" spans="1:15" x14ac:dyDescent="0.4">
      <c r="A177" s="1">
        <v>44742</v>
      </c>
      <c r="B177" s="38">
        <v>8.5372636699439095</v>
      </c>
      <c r="C177" s="38">
        <v>17.2496664353143</v>
      </c>
      <c r="D177" s="38">
        <v>9.2713297244703305</v>
      </c>
      <c r="E177" s="38">
        <v>7.0675750490972504</v>
      </c>
      <c r="F177" s="38">
        <v>3.6147346056737901</v>
      </c>
      <c r="G177" s="38">
        <v>4.3804510355870399</v>
      </c>
      <c r="H177" s="38">
        <v>2.3203992254366899</v>
      </c>
      <c r="I177" s="2">
        <f t="shared" si="15"/>
        <v>8.5372636699439095</v>
      </c>
      <c r="J177" s="2">
        <f t="shared" si="16"/>
        <v>17.2496664353143</v>
      </c>
      <c r="K177" s="2">
        <f t="shared" si="17"/>
        <v>17.478971008591408</v>
      </c>
      <c r="L177" s="2">
        <f t="shared" si="18"/>
        <v>7.0675750490972504</v>
      </c>
      <c r="M177" s="2">
        <f t="shared" si="19"/>
        <v>3.6147346056737901</v>
      </c>
      <c r="N177" s="2">
        <f t="shared" si="20"/>
        <v>4.3804510355870399</v>
      </c>
      <c r="O177" s="2">
        <f t="shared" si="21"/>
        <v>4.2905088334077517</v>
      </c>
    </row>
    <row r="178" spans="1:15" x14ac:dyDescent="0.4">
      <c r="A178" s="1">
        <v>44773</v>
      </c>
      <c r="B178" s="38">
        <v>9.3981123393509804</v>
      </c>
      <c r="C178" s="38">
        <v>17.628602559814698</v>
      </c>
      <c r="D178" s="38">
        <v>8.5694060366803093</v>
      </c>
      <c r="E178" s="38">
        <v>6.6757412076870404</v>
      </c>
      <c r="F178" s="38">
        <v>3.56099191523476</v>
      </c>
      <c r="G178" s="38">
        <v>4.7586022784726003</v>
      </c>
      <c r="H178" s="38">
        <v>2.3117717462505301</v>
      </c>
      <c r="I178" s="2">
        <f t="shared" si="15"/>
        <v>9.3981123393509804</v>
      </c>
      <c r="J178" s="2">
        <f t="shared" si="16"/>
        <v>17.628602559814698</v>
      </c>
      <c r="K178" s="2">
        <f t="shared" si="17"/>
        <v>16.155654488336136</v>
      </c>
      <c r="L178" s="2">
        <f t="shared" si="18"/>
        <v>6.6757412076870404</v>
      </c>
      <c r="M178" s="2">
        <f t="shared" si="19"/>
        <v>3.56099191523476</v>
      </c>
      <c r="N178" s="2">
        <f t="shared" si="20"/>
        <v>4.7586022784726003</v>
      </c>
      <c r="O178" s="2">
        <f t="shared" si="21"/>
        <v>4.2745562872887559</v>
      </c>
    </row>
    <row r="179" spans="1:15" x14ac:dyDescent="0.4">
      <c r="A179" s="1">
        <v>44804</v>
      </c>
      <c r="B179" s="38">
        <v>9.3993520918109503</v>
      </c>
      <c r="C179" s="38">
        <v>18.246455328725101</v>
      </c>
      <c r="D179" s="38">
        <v>8.5257086133197095</v>
      </c>
      <c r="E179" s="38">
        <v>6.46831912989665</v>
      </c>
      <c r="F179" s="38">
        <v>3.56289884245852</v>
      </c>
      <c r="G179" s="38">
        <v>4.9137799276102996</v>
      </c>
      <c r="H179" s="38">
        <v>2.2526003684968501</v>
      </c>
      <c r="I179" s="2">
        <f t="shared" si="15"/>
        <v>9.3993520918109503</v>
      </c>
      <c r="J179" s="2">
        <f t="shared" si="16"/>
        <v>18.246455328725101</v>
      </c>
      <c r="K179" s="2">
        <f t="shared" si="17"/>
        <v>16.073272994120245</v>
      </c>
      <c r="L179" s="2">
        <f t="shared" si="18"/>
        <v>6.46831912989665</v>
      </c>
      <c r="M179" s="2">
        <f t="shared" si="19"/>
        <v>3.56289884245852</v>
      </c>
      <c r="N179" s="2">
        <f t="shared" si="20"/>
        <v>4.9137799276102996</v>
      </c>
      <c r="O179" s="2">
        <f t="shared" si="21"/>
        <v>4.1651460978032411</v>
      </c>
    </row>
    <row r="180" spans="1:15" x14ac:dyDescent="0.4">
      <c r="A180" s="1">
        <v>44834</v>
      </c>
      <c r="B180" s="38">
        <v>8.6479770246002197</v>
      </c>
      <c r="C180" s="38">
        <v>16.681498874668499</v>
      </c>
      <c r="D180" s="38">
        <v>8.2039291701747494</v>
      </c>
      <c r="E180" s="38">
        <v>6.21782846919234</v>
      </c>
      <c r="F180" s="38">
        <v>3.29743575007274</v>
      </c>
      <c r="G180" s="38">
        <v>4.5375449215956296</v>
      </c>
      <c r="H180" s="38">
        <v>2.0710683234726202</v>
      </c>
      <c r="I180" s="2">
        <f t="shared" si="15"/>
        <v>8.6479770246002197</v>
      </c>
      <c r="J180" s="2">
        <f t="shared" si="16"/>
        <v>16.681498874668499</v>
      </c>
      <c r="K180" s="2">
        <f t="shared" si="17"/>
        <v>15.466631473967347</v>
      </c>
      <c r="L180" s="2">
        <f t="shared" si="18"/>
        <v>6.21782846919234</v>
      </c>
      <c r="M180" s="2">
        <f t="shared" si="19"/>
        <v>3.29743575007274</v>
      </c>
      <c r="N180" s="2">
        <f t="shared" si="20"/>
        <v>4.5375449215956296</v>
      </c>
      <c r="O180" s="2">
        <f t="shared" si="21"/>
        <v>3.8294862535036236</v>
      </c>
    </row>
    <row r="181" spans="1:15" x14ac:dyDescent="0.4">
      <c r="A181" s="1">
        <v>44865</v>
      </c>
      <c r="B181" s="38">
        <v>8.8374018159225702</v>
      </c>
      <c r="C181" s="38">
        <v>16.067299907169598</v>
      </c>
      <c r="D181" s="38">
        <v>7.4631060181591797</v>
      </c>
      <c r="E181" s="38">
        <v>5.8525356151074899</v>
      </c>
      <c r="F181" s="38">
        <v>3.20437767020494</v>
      </c>
      <c r="G181" s="38">
        <v>4.5641183552391604</v>
      </c>
      <c r="H181" s="38">
        <v>2.0427327971165798</v>
      </c>
      <c r="I181" s="2">
        <f t="shared" si="15"/>
        <v>8.8374018159225702</v>
      </c>
      <c r="J181" s="2">
        <f t="shared" si="16"/>
        <v>16.067299907169598</v>
      </c>
      <c r="K181" s="2">
        <f t="shared" si="17"/>
        <v>14.069978913720577</v>
      </c>
      <c r="L181" s="2">
        <f t="shared" si="18"/>
        <v>5.8525356151074899</v>
      </c>
      <c r="M181" s="2">
        <f t="shared" si="19"/>
        <v>3.20437767020494</v>
      </c>
      <c r="N181" s="2">
        <f t="shared" si="20"/>
        <v>4.5641183552391604</v>
      </c>
      <c r="O181" s="2">
        <f t="shared" si="21"/>
        <v>3.7770927581097569</v>
      </c>
    </row>
    <row r="182" spans="1:15" x14ac:dyDescent="0.4">
      <c r="A182" s="1">
        <v>44895</v>
      </c>
      <c r="B182" s="38">
        <v>9.8945140885970204</v>
      </c>
      <c r="C182" s="38">
        <v>17.172174726802702</v>
      </c>
      <c r="D182" s="38">
        <v>8.0203018727802107</v>
      </c>
      <c r="E182" s="38">
        <v>6.4860938735312104</v>
      </c>
      <c r="F182" s="38">
        <v>3.6826409612428401</v>
      </c>
      <c r="G182" s="38">
        <v>4.9419016689242099</v>
      </c>
      <c r="H182" s="38">
        <v>2.2143662591453701</v>
      </c>
      <c r="I182" s="2">
        <f t="shared" si="15"/>
        <v>9.8945140885970204</v>
      </c>
      <c r="J182" s="2">
        <f t="shared" si="16"/>
        <v>17.172174726802702</v>
      </c>
      <c r="K182" s="2">
        <f t="shared" si="17"/>
        <v>15.120444216806831</v>
      </c>
      <c r="L182" s="2">
        <f t="shared" si="18"/>
        <v>6.4860938735312104</v>
      </c>
      <c r="M182" s="2">
        <f t="shared" si="19"/>
        <v>3.6826409612428401</v>
      </c>
      <c r="N182" s="2">
        <f t="shared" si="20"/>
        <v>4.9419016689242099</v>
      </c>
      <c r="O182" s="2">
        <f t="shared" si="21"/>
        <v>4.0944497356808434</v>
      </c>
    </row>
    <row r="183" spans="1:15" x14ac:dyDescent="0.4">
      <c r="A183" s="1">
        <v>44926</v>
      </c>
      <c r="B183" s="38">
        <v>9.8676849820456507</v>
      </c>
      <c r="C183" s="38">
        <v>16.1753015201223</v>
      </c>
      <c r="D183" s="38">
        <v>8.1119967683643992</v>
      </c>
      <c r="E183" s="38">
        <v>6.3678221014004803</v>
      </c>
      <c r="F183" s="38">
        <v>3.5472743042305201</v>
      </c>
      <c r="G183" s="38">
        <v>4.77571550335984</v>
      </c>
      <c r="H183" s="38">
        <v>2.1519242347705001</v>
      </c>
      <c r="I183" s="2">
        <f t="shared" si="15"/>
        <v>9.8676849820456507</v>
      </c>
      <c r="J183" s="2">
        <f t="shared" si="16"/>
        <v>16.1753015201223</v>
      </c>
      <c r="K183" s="2">
        <f t="shared" si="17"/>
        <v>15.293313963561891</v>
      </c>
      <c r="L183" s="2">
        <f t="shared" si="18"/>
        <v>6.3678221014004803</v>
      </c>
      <c r="M183" s="2">
        <f t="shared" si="19"/>
        <v>3.5472743042305201</v>
      </c>
      <c r="N183" s="2">
        <f t="shared" si="20"/>
        <v>4.77571550335984</v>
      </c>
      <c r="O183" s="2">
        <f t="shared" si="21"/>
        <v>3.9789919927979036</v>
      </c>
    </row>
    <row r="184" spans="1:15" x14ac:dyDescent="0.4">
      <c r="A184" s="1">
        <v>44957</v>
      </c>
      <c r="B184" s="38">
        <v>10.651673341581301</v>
      </c>
      <c r="C184" s="38">
        <v>17.5389687355453</v>
      </c>
      <c r="D184" s="38">
        <v>8.3848614594852897</v>
      </c>
      <c r="E184" s="38">
        <v>6.8741717651406002</v>
      </c>
      <c r="F184" s="38">
        <v>3.8146775675743001</v>
      </c>
      <c r="G184" s="38">
        <v>5.13484733760232</v>
      </c>
      <c r="H184" s="38">
        <v>2.3039825694651799</v>
      </c>
      <c r="I184" s="2">
        <f t="shared" si="15"/>
        <v>10.651673341581301</v>
      </c>
      <c r="J184" s="2">
        <f t="shared" si="16"/>
        <v>17.5389687355453</v>
      </c>
      <c r="K184" s="2">
        <f t="shared" si="17"/>
        <v>15.807737909976199</v>
      </c>
      <c r="L184" s="2">
        <f t="shared" si="18"/>
        <v>6.8741717651406002</v>
      </c>
      <c r="M184" s="2">
        <f t="shared" si="19"/>
        <v>3.8146775675743001</v>
      </c>
      <c r="N184" s="2">
        <f t="shared" si="20"/>
        <v>5.13484733760232</v>
      </c>
      <c r="O184" s="2">
        <f t="shared" si="21"/>
        <v>4.2601537950640704</v>
      </c>
    </row>
    <row r="185" spans="1:15" x14ac:dyDescent="0.4">
      <c r="A185" s="1">
        <v>44985</v>
      </c>
      <c r="B185" s="38">
        <v>10.7390371348011</v>
      </c>
      <c r="C185" s="38">
        <v>17.311101275300999</v>
      </c>
      <c r="D185" s="38">
        <v>8.7234878903235895</v>
      </c>
      <c r="E185" s="38">
        <v>7.0427451171889297</v>
      </c>
      <c r="F185" s="38">
        <v>3.9566619741223801</v>
      </c>
      <c r="G185" s="38">
        <v>5.26695557883943</v>
      </c>
      <c r="H185" s="38">
        <v>2.3507001175564901</v>
      </c>
      <c r="I185" s="2">
        <f t="shared" si="15"/>
        <v>10.7390371348011</v>
      </c>
      <c r="J185" s="2">
        <f t="shared" si="16"/>
        <v>17.311101275300999</v>
      </c>
      <c r="K185" s="2">
        <f t="shared" si="17"/>
        <v>16.446140571003721</v>
      </c>
      <c r="L185" s="2">
        <f t="shared" si="18"/>
        <v>7.0427451171889297</v>
      </c>
      <c r="M185" s="2">
        <f t="shared" si="19"/>
        <v>3.9566619741223801</v>
      </c>
      <c r="N185" s="2">
        <f t="shared" si="20"/>
        <v>5.26695557883943</v>
      </c>
      <c r="O185" s="2">
        <f t="shared" si="21"/>
        <v>4.3465363668920691</v>
      </c>
    </row>
    <row r="186" spans="1:15" x14ac:dyDescent="0.4">
      <c r="A186" s="1">
        <v>45016</v>
      </c>
      <c r="B186" s="38">
        <v>10.549969488940301</v>
      </c>
      <c r="C186" s="38">
        <v>17.294782535215599</v>
      </c>
      <c r="D186" s="38">
        <v>8.4092555549527805</v>
      </c>
      <c r="E186" s="38">
        <v>6.7643038410605696</v>
      </c>
      <c r="F186" s="38">
        <v>3.9540015545127898</v>
      </c>
      <c r="G186" s="38">
        <v>4.9902329811368196</v>
      </c>
      <c r="H186" s="38">
        <v>2.3150780975125902</v>
      </c>
      <c r="I186" s="2">
        <f t="shared" si="15"/>
        <v>10.549969488940301</v>
      </c>
      <c r="J186" s="2">
        <f t="shared" si="16"/>
        <v>17.294782535215599</v>
      </c>
      <c r="K186" s="2">
        <f t="shared" si="17"/>
        <v>15.853727395856708</v>
      </c>
      <c r="L186" s="2">
        <f t="shared" si="18"/>
        <v>6.7643038410605696</v>
      </c>
      <c r="M186" s="2">
        <f t="shared" si="19"/>
        <v>3.9540015545127898</v>
      </c>
      <c r="N186" s="2">
        <f t="shared" si="20"/>
        <v>4.9902329811368196</v>
      </c>
      <c r="O186" s="2">
        <f t="shared" si="21"/>
        <v>4.2806698599622468</v>
      </c>
    </row>
    <row r="187" spans="1:15" x14ac:dyDescent="0.4">
      <c r="A187" s="1">
        <v>45046</v>
      </c>
      <c r="B187" s="38">
        <v>10.9900757977968</v>
      </c>
      <c r="C187" s="38">
        <v>18.281885239580902</v>
      </c>
      <c r="D187" s="38">
        <v>8.1159198504990506</v>
      </c>
      <c r="E187" s="38">
        <v>7.4422110422085597</v>
      </c>
      <c r="F187" s="38">
        <v>4.1229704656350501</v>
      </c>
      <c r="G187" s="38">
        <v>4.6851856928577797</v>
      </c>
      <c r="H187" s="38">
        <v>2.2600403145246002</v>
      </c>
      <c r="I187" s="2">
        <f t="shared" si="15"/>
        <v>10.9900757977968</v>
      </c>
      <c r="J187" s="2">
        <f t="shared" si="16"/>
        <v>18.281885239580902</v>
      </c>
      <c r="K187" s="2">
        <f t="shared" si="17"/>
        <v>15.300710037365082</v>
      </c>
      <c r="L187" s="2">
        <f t="shared" si="18"/>
        <v>7.4422110422085597</v>
      </c>
      <c r="M187" s="2">
        <f t="shared" si="19"/>
        <v>4.1229704656350501</v>
      </c>
      <c r="N187" s="2">
        <f t="shared" si="20"/>
        <v>4.6851856928577797</v>
      </c>
      <c r="O187" s="2">
        <f t="shared" si="21"/>
        <v>4.1789028487115383</v>
      </c>
    </row>
    <row r="188" spans="1:15" x14ac:dyDescent="0.4">
      <c r="A188" s="1">
        <v>45077</v>
      </c>
      <c r="B188" s="38">
        <v>10.879380428786501</v>
      </c>
      <c r="C188" s="38">
        <v>18.308490710131998</v>
      </c>
      <c r="D188" s="38">
        <v>7.6429692151060902</v>
      </c>
      <c r="E188" s="38">
        <v>7.0993166475010199</v>
      </c>
      <c r="F188" s="38">
        <v>3.8845351235977899</v>
      </c>
      <c r="G188" s="38">
        <v>4.6036491896836296</v>
      </c>
      <c r="H188" s="38">
        <v>2.19421544342817</v>
      </c>
      <c r="I188" s="2">
        <f t="shared" si="15"/>
        <v>10.879380428786501</v>
      </c>
      <c r="J188" s="2">
        <f t="shared" si="16"/>
        <v>18.308490710131998</v>
      </c>
      <c r="K188" s="2">
        <f t="shared" si="17"/>
        <v>14.409069820675375</v>
      </c>
      <c r="L188" s="2">
        <f t="shared" si="18"/>
        <v>7.0993166475010199</v>
      </c>
      <c r="M188" s="2">
        <f t="shared" si="19"/>
        <v>3.8845351235977899</v>
      </c>
      <c r="N188" s="2">
        <f t="shared" si="20"/>
        <v>4.6036491896836296</v>
      </c>
      <c r="O188" s="2">
        <f t="shared" si="21"/>
        <v>4.0571900900615656</v>
      </c>
    </row>
    <row r="189" spans="1:15" x14ac:dyDescent="0.4">
      <c r="A189" s="1">
        <v>45107</v>
      </c>
      <c r="B189" s="38">
        <v>11.070147780078701</v>
      </c>
      <c r="C189" s="38">
        <v>18.506646848698001</v>
      </c>
      <c r="D189" s="38">
        <v>7.7643818200844601</v>
      </c>
      <c r="E189" s="38">
        <v>7.3266457787616499</v>
      </c>
      <c r="F189" s="38">
        <v>3.9182231279714999</v>
      </c>
      <c r="G189" s="38">
        <v>4.9069496326998197</v>
      </c>
      <c r="H189" s="38">
        <v>2.2532488460626499</v>
      </c>
      <c r="I189" s="2">
        <f t="shared" si="15"/>
        <v>11.070147780078701</v>
      </c>
      <c r="J189" s="2">
        <f t="shared" si="16"/>
        <v>18.506646848698001</v>
      </c>
      <c r="K189" s="2">
        <f t="shared" si="17"/>
        <v>14.637965509380452</v>
      </c>
      <c r="L189" s="2">
        <f t="shared" si="18"/>
        <v>7.3266457787616499</v>
      </c>
      <c r="M189" s="2">
        <f t="shared" si="19"/>
        <v>3.9182231279714999</v>
      </c>
      <c r="N189" s="2">
        <f t="shared" si="20"/>
        <v>4.9069496326998197</v>
      </c>
      <c r="O189" s="2">
        <f t="shared" si="21"/>
        <v>4.1663451581605413</v>
      </c>
    </row>
    <row r="190" spans="1:15" x14ac:dyDescent="0.4">
      <c r="A190" s="1">
        <v>45138</v>
      </c>
      <c r="B190" s="38">
        <v>11.5028078125069</v>
      </c>
      <c r="C190" s="38">
        <v>18.463660614293602</v>
      </c>
      <c r="D190" s="38">
        <v>8.3404575600471098</v>
      </c>
      <c r="E190" s="38">
        <v>7.84115774880107</v>
      </c>
      <c r="F190" s="38">
        <v>4.1719315965800199</v>
      </c>
      <c r="G190" s="38">
        <v>5.08032845204092</v>
      </c>
      <c r="H190" s="38">
        <v>2.30944598439631</v>
      </c>
      <c r="I190" s="2">
        <f t="shared" si="15"/>
        <v>11.5028078125069</v>
      </c>
      <c r="J190" s="2">
        <f t="shared" si="16"/>
        <v>18.463660614293602</v>
      </c>
      <c r="K190" s="2">
        <f t="shared" si="17"/>
        <v>15.724024516750644</v>
      </c>
      <c r="L190" s="2">
        <f t="shared" si="18"/>
        <v>7.84115774880107</v>
      </c>
      <c r="M190" s="2">
        <f t="shared" si="19"/>
        <v>4.1719315965800199</v>
      </c>
      <c r="N190" s="2">
        <f t="shared" si="20"/>
        <v>5.08032845204092</v>
      </c>
      <c r="O190" s="2">
        <f t="shared" si="21"/>
        <v>4.2702558627451923</v>
      </c>
    </row>
    <row r="191" spans="1:15" x14ac:dyDescent="0.4">
      <c r="A191" s="1">
        <v>45169</v>
      </c>
      <c r="B191" s="38">
        <v>10.747998555426699</v>
      </c>
      <c r="C191" s="38">
        <v>17.690122934476399</v>
      </c>
      <c r="D191" s="38">
        <v>7.9757452721137803</v>
      </c>
      <c r="E191" s="38">
        <v>7.4185951467348303</v>
      </c>
      <c r="F191" s="38">
        <v>4.0718392995874497</v>
      </c>
      <c r="G191" s="38">
        <v>4.8471644061273702</v>
      </c>
      <c r="H191" s="38">
        <v>2.1761707269150099</v>
      </c>
      <c r="I191" s="2">
        <f t="shared" si="15"/>
        <v>10.747998555426699</v>
      </c>
      <c r="J191" s="2">
        <f t="shared" si="16"/>
        <v>17.690122934476399</v>
      </c>
      <c r="K191" s="2">
        <f t="shared" si="17"/>
        <v>15.036442940351915</v>
      </c>
      <c r="L191" s="2">
        <f t="shared" si="18"/>
        <v>7.4185951467348303</v>
      </c>
      <c r="M191" s="2">
        <f t="shared" si="19"/>
        <v>4.0718392995874497</v>
      </c>
      <c r="N191" s="2">
        <f t="shared" si="20"/>
        <v>4.8471644061273702</v>
      </c>
      <c r="O191" s="2">
        <f t="shared" si="21"/>
        <v>4.0238247041627311</v>
      </c>
    </row>
    <row r="192" spans="1:15" x14ac:dyDescent="0.4">
      <c r="A192" s="1">
        <v>45199</v>
      </c>
      <c r="B192" s="38">
        <v>10.480733206343</v>
      </c>
      <c r="C192" s="38">
        <v>16.9998861480085</v>
      </c>
      <c r="D192" s="38">
        <v>7.8796323112659303</v>
      </c>
      <c r="E192" s="38">
        <v>7.6165551942251</v>
      </c>
      <c r="F192" s="38">
        <v>4.1222578179778999</v>
      </c>
      <c r="G192" s="38">
        <v>4.9653859182231601</v>
      </c>
      <c r="H192" s="38">
        <v>2.1598097749289402</v>
      </c>
      <c r="I192" s="2">
        <f t="shared" si="15"/>
        <v>10.480733206343</v>
      </c>
      <c r="J192" s="2">
        <f t="shared" si="16"/>
        <v>16.9998861480085</v>
      </c>
      <c r="K192" s="2">
        <f t="shared" si="17"/>
        <v>14.855243942351072</v>
      </c>
      <c r="L192" s="2">
        <f t="shared" si="18"/>
        <v>7.6165551942251</v>
      </c>
      <c r="M192" s="2">
        <f t="shared" si="19"/>
        <v>4.1222578179778999</v>
      </c>
      <c r="N192" s="2">
        <f t="shared" si="20"/>
        <v>4.9653859182231601</v>
      </c>
      <c r="O192" s="2">
        <f t="shared" si="21"/>
        <v>3.993572664664665</v>
      </c>
    </row>
    <row r="193" spans="1:15" x14ac:dyDescent="0.4">
      <c r="A193" s="1">
        <v>45230</v>
      </c>
      <c r="B193" s="38">
        <v>10.2146161897772</v>
      </c>
      <c r="C193" s="38">
        <v>16.683823168366501</v>
      </c>
      <c r="D193" s="38">
        <v>7.7786718673966799</v>
      </c>
      <c r="E193" s="38">
        <v>7.3680510690494696</v>
      </c>
      <c r="F193" s="38">
        <v>3.9141103892434201</v>
      </c>
      <c r="G193" s="38">
        <v>4.9651816296320703</v>
      </c>
      <c r="H193" s="38">
        <v>2.1078640492332701</v>
      </c>
      <c r="I193" s="2">
        <f t="shared" si="15"/>
        <v>10.2146161897772</v>
      </c>
      <c r="J193" s="2">
        <f t="shared" si="16"/>
        <v>16.683823168366501</v>
      </c>
      <c r="K193" s="2">
        <f t="shared" si="17"/>
        <v>14.66490612416869</v>
      </c>
      <c r="L193" s="2">
        <f t="shared" si="18"/>
        <v>7.3680510690494696</v>
      </c>
      <c r="M193" s="2">
        <f t="shared" si="19"/>
        <v>3.9141103892434201</v>
      </c>
      <c r="N193" s="2">
        <f t="shared" si="20"/>
        <v>4.9651816296320703</v>
      </c>
      <c r="O193" s="2">
        <f t="shared" si="21"/>
        <v>3.8975229881642321</v>
      </c>
    </row>
    <row r="194" spans="1:15" x14ac:dyDescent="0.4">
      <c r="A194" s="1">
        <v>45260</v>
      </c>
      <c r="B194" s="38">
        <v>10.318628072326099</v>
      </c>
      <c r="C194" s="38">
        <v>16.415773603428701</v>
      </c>
      <c r="D194" s="38">
        <v>7.4947271432205103</v>
      </c>
      <c r="E194" s="38">
        <v>7.4187777175144696</v>
      </c>
      <c r="F194" s="38">
        <v>3.9635043576452098</v>
      </c>
      <c r="G194" s="38">
        <v>5.2490826135470003</v>
      </c>
      <c r="H194" s="38">
        <v>2.1362229593452602</v>
      </c>
      <c r="I194" s="2">
        <f t="shared" si="15"/>
        <v>10.318628072326099</v>
      </c>
      <c r="J194" s="2">
        <f t="shared" si="16"/>
        <v>16.415773603428701</v>
      </c>
      <c r="K194" s="2">
        <f t="shared" si="17"/>
        <v>14.129593310428664</v>
      </c>
      <c r="L194" s="2">
        <f t="shared" si="18"/>
        <v>7.4187777175144696</v>
      </c>
      <c r="M194" s="2">
        <f t="shared" si="19"/>
        <v>3.9635043576452098</v>
      </c>
      <c r="N194" s="2">
        <f t="shared" si="20"/>
        <v>5.2490826135470003</v>
      </c>
      <c r="O194" s="2">
        <f t="shared" si="21"/>
        <v>3.9499597210365298</v>
      </c>
    </row>
    <row r="195" spans="1:15" x14ac:dyDescent="0.4">
      <c r="A195" s="1">
        <v>45291</v>
      </c>
      <c r="B195" s="38">
        <v>10.182019933462801</v>
      </c>
      <c r="C195" s="38">
        <v>16.7222510273102</v>
      </c>
      <c r="D195" s="38">
        <v>7.4587891913505899</v>
      </c>
      <c r="E195" s="38">
        <v>7.5739129067301096</v>
      </c>
      <c r="F195" s="38">
        <v>4.0352315477877401</v>
      </c>
      <c r="G195" s="38">
        <v>5.2460818284619597</v>
      </c>
      <c r="H195" s="38">
        <v>2.0908880109585102</v>
      </c>
      <c r="I195" s="2">
        <f t="shared" si="15"/>
        <v>10.182019933462801</v>
      </c>
      <c r="J195" s="2">
        <f t="shared" si="16"/>
        <v>16.7222510273102</v>
      </c>
      <c r="K195" s="2">
        <f t="shared" si="17"/>
        <v>14.061840524419495</v>
      </c>
      <c r="L195" s="2">
        <f t="shared" si="18"/>
        <v>7.5739129067301096</v>
      </c>
      <c r="M195" s="2">
        <f t="shared" si="19"/>
        <v>4.0352315477877401</v>
      </c>
      <c r="N195" s="2">
        <f t="shared" si="20"/>
        <v>5.2460818284619597</v>
      </c>
      <c r="O195" s="2">
        <f t="shared" si="21"/>
        <v>3.8661336300849483</v>
      </c>
    </row>
    <row r="196" spans="1:15" x14ac:dyDescent="0.4">
      <c r="A196" s="1">
        <v>45322</v>
      </c>
      <c r="B196" s="38">
        <v>8.7559873371159895</v>
      </c>
      <c r="C196" s="38">
        <v>14.8845391812981</v>
      </c>
      <c r="D196" s="38">
        <v>6.3974062577106396</v>
      </c>
      <c r="E196" s="38">
        <v>7.1213773009821999</v>
      </c>
      <c r="F196" s="38">
        <v>4.08033696179705</v>
      </c>
      <c r="G196" s="38">
        <v>4.3060680678174696</v>
      </c>
      <c r="H196" s="38">
        <v>1.8062584056347299</v>
      </c>
      <c r="I196" s="2">
        <f t="shared" si="15"/>
        <v>8.7559873371159895</v>
      </c>
      <c r="J196" s="2">
        <f t="shared" si="16"/>
        <v>14.8845391812981</v>
      </c>
      <c r="K196" s="2">
        <f t="shared" si="17"/>
        <v>12.060845836770604</v>
      </c>
      <c r="L196" s="2">
        <f t="shared" si="18"/>
        <v>7.1213773009821999</v>
      </c>
      <c r="M196" s="2">
        <f t="shared" si="19"/>
        <v>4.08033696179705</v>
      </c>
      <c r="N196" s="2">
        <f t="shared" si="20"/>
        <v>4.3060680678174696</v>
      </c>
      <c r="O196" s="2">
        <f t="shared" si="21"/>
        <v>3.3398423684331022</v>
      </c>
    </row>
    <row r="197" spans="1:15" x14ac:dyDescent="0.4">
      <c r="A197" s="1">
        <v>45351</v>
      </c>
      <c r="B197" s="38">
        <v>9.8699046230254197</v>
      </c>
      <c r="C197" s="38">
        <v>17.832675971336801</v>
      </c>
      <c r="D197" s="38">
        <v>6.9796469261937499</v>
      </c>
      <c r="E197" s="38">
        <v>7.7170772435781103</v>
      </c>
      <c r="F197" s="38">
        <v>4.3802708875218599</v>
      </c>
      <c r="G197" s="38">
        <v>4.2493283584493504</v>
      </c>
      <c r="H197" s="38">
        <v>1.9653156473775699</v>
      </c>
      <c r="I197" s="2">
        <f t="shared" si="15"/>
        <v>9.8699046230254197</v>
      </c>
      <c r="J197" s="2">
        <f t="shared" si="16"/>
        <v>17.832675971336801</v>
      </c>
      <c r="K197" s="2">
        <f t="shared" si="17"/>
        <v>13.158527406392546</v>
      </c>
      <c r="L197" s="2">
        <f t="shared" si="18"/>
        <v>7.7170772435781103</v>
      </c>
      <c r="M197" s="2">
        <f t="shared" si="19"/>
        <v>4.3802708875218599</v>
      </c>
      <c r="N197" s="2">
        <f t="shared" si="20"/>
        <v>4.2493283584493504</v>
      </c>
      <c r="O197" s="2">
        <f t="shared" si="21"/>
        <v>3.633945423301471</v>
      </c>
    </row>
    <row r="198" spans="1:15" x14ac:dyDescent="0.4">
      <c r="A198" s="1">
        <v>45382</v>
      </c>
      <c r="B198" s="38">
        <v>10.1271446272772</v>
      </c>
      <c r="C198" s="38">
        <v>18.554346212967701</v>
      </c>
      <c r="D198" s="38">
        <v>7.2062837970609097</v>
      </c>
      <c r="E198" s="38">
        <v>7.6794830913305603</v>
      </c>
      <c r="F198" s="38">
        <v>4.4780018492311999</v>
      </c>
      <c r="G198" s="38">
        <v>4.7031247553934996</v>
      </c>
      <c r="H198" s="38">
        <v>2.0099882002403202</v>
      </c>
      <c r="I198" s="2">
        <f t="shared" si="15"/>
        <v>10.1271446272772</v>
      </c>
      <c r="J198" s="2">
        <f t="shared" si="16"/>
        <v>18.554346212967701</v>
      </c>
      <c r="K198" s="2">
        <f t="shared" si="17"/>
        <v>13.585799374178297</v>
      </c>
      <c r="L198" s="2">
        <f t="shared" si="18"/>
        <v>7.6794830913305603</v>
      </c>
      <c r="M198" s="2">
        <f t="shared" si="19"/>
        <v>4.4780018492311999</v>
      </c>
      <c r="N198" s="2">
        <f t="shared" si="20"/>
        <v>4.7031247553934996</v>
      </c>
      <c r="O198" s="2">
        <f t="shared" si="21"/>
        <v>3.716546719047221</v>
      </c>
    </row>
    <row r="199" spans="1:15" x14ac:dyDescent="0.4">
      <c r="A199" s="1">
        <v>45412</v>
      </c>
      <c r="B199" s="38">
        <v>10.270066601107599</v>
      </c>
      <c r="C199" s="38">
        <v>19.685259730823098</v>
      </c>
      <c r="D199" s="38">
        <v>7.5406614493964002</v>
      </c>
      <c r="E199" s="38">
        <v>7.7906755665673</v>
      </c>
      <c r="F199" s="38">
        <v>4.3787817608395203</v>
      </c>
      <c r="G199" s="38">
        <v>4.6533744481820998</v>
      </c>
      <c r="H199" s="38">
        <v>2.01948492792532</v>
      </c>
      <c r="I199" s="2">
        <f t="shared" si="15"/>
        <v>10.270066601107599</v>
      </c>
      <c r="J199" s="2">
        <f t="shared" si="16"/>
        <v>19.685259730823098</v>
      </c>
      <c r="K199" s="2">
        <f t="shared" si="17"/>
        <v>14.216191935416516</v>
      </c>
      <c r="L199" s="2">
        <f t="shared" si="18"/>
        <v>7.7906755665673</v>
      </c>
      <c r="M199" s="2">
        <f t="shared" si="19"/>
        <v>4.3787817608395203</v>
      </c>
      <c r="N199" s="2">
        <f t="shared" si="20"/>
        <v>4.6533744481820998</v>
      </c>
      <c r="O199" s="2">
        <f t="shared" si="21"/>
        <v>3.7341065396049489</v>
      </c>
    </row>
    <row r="200" spans="1:15" x14ac:dyDescent="0.4">
      <c r="A200" s="1">
        <v>45443</v>
      </c>
      <c r="B200" s="38">
        <v>10.334057692833399</v>
      </c>
      <c r="C200" s="38">
        <v>19.213213348822801</v>
      </c>
      <c r="D200" s="38">
        <v>7.2402351818683597</v>
      </c>
      <c r="E200" s="38">
        <v>7.9100414951610096</v>
      </c>
      <c r="F200" s="38">
        <v>4.4197035049594602</v>
      </c>
      <c r="G200" s="38">
        <v>4.5172493009886701</v>
      </c>
      <c r="H200" s="38">
        <v>1.9915691590015301</v>
      </c>
      <c r="I200" s="2">
        <f t="shared" si="15"/>
        <v>10.334057692833399</v>
      </c>
      <c r="J200" s="2">
        <f t="shared" si="16"/>
        <v>19.213213348822801</v>
      </c>
      <c r="K200" s="2">
        <f t="shared" si="17"/>
        <v>13.649806942497721</v>
      </c>
      <c r="L200" s="2">
        <f t="shared" si="18"/>
        <v>7.9100414951610096</v>
      </c>
      <c r="M200" s="2">
        <f t="shared" si="19"/>
        <v>4.4197035049594602</v>
      </c>
      <c r="N200" s="2">
        <f t="shared" si="20"/>
        <v>4.5172493009886701</v>
      </c>
      <c r="O200" s="2">
        <f t="shared" si="21"/>
        <v>3.6824891921046068</v>
      </c>
    </row>
    <row r="201" spans="1:15" x14ac:dyDescent="0.4">
      <c r="A201" s="1">
        <v>45473</v>
      </c>
      <c r="B201" s="38">
        <v>9.9583962872523699</v>
      </c>
      <c r="C201" s="38">
        <v>19.394832808381299</v>
      </c>
      <c r="D201" s="38">
        <v>6.7065086274163503</v>
      </c>
      <c r="E201" s="38">
        <v>7.5641968965061501</v>
      </c>
      <c r="F201" s="38">
        <v>4.2937117556301096</v>
      </c>
      <c r="G201" s="38">
        <v>4.0158166617770403</v>
      </c>
      <c r="H201" s="38">
        <v>1.8452806422785299</v>
      </c>
      <c r="I201" s="2">
        <f t="shared" si="15"/>
        <v>9.9583962872523699</v>
      </c>
      <c r="J201" s="2">
        <f t="shared" si="16"/>
        <v>19.394832808381299</v>
      </c>
      <c r="K201" s="2">
        <f t="shared" si="17"/>
        <v>12.643587635340568</v>
      </c>
      <c r="L201" s="2">
        <f t="shared" si="18"/>
        <v>7.5641968965061501</v>
      </c>
      <c r="M201" s="2">
        <f t="shared" si="19"/>
        <v>4.2937117556301096</v>
      </c>
      <c r="N201" s="2">
        <f t="shared" si="20"/>
        <v>4.0158166617770403</v>
      </c>
      <c r="O201" s="2">
        <f t="shared" si="21"/>
        <v>3.4119960087137065</v>
      </c>
    </row>
    <row r="202" spans="1:15" x14ac:dyDescent="0.4">
      <c r="A202" s="1">
        <v>45504</v>
      </c>
      <c r="B202" s="38">
        <v>9.6695258059826905</v>
      </c>
      <c r="C202" s="38">
        <v>18.657828264423401</v>
      </c>
      <c r="D202" s="38">
        <v>6.6926004957231298</v>
      </c>
      <c r="E202" s="38">
        <v>7.0241520298092199</v>
      </c>
      <c r="F202" s="38">
        <v>4.0611454028290597</v>
      </c>
      <c r="G202" s="38">
        <v>4.1005958931914099</v>
      </c>
      <c r="H202" s="38">
        <v>1.8479031945954001</v>
      </c>
      <c r="I202" s="2">
        <f t="shared" si="15"/>
        <v>9.6695258059826905</v>
      </c>
      <c r="J202" s="2">
        <f t="shared" si="16"/>
        <v>18.657828264423401</v>
      </c>
      <c r="K202" s="2">
        <f t="shared" si="17"/>
        <v>12.617367035073505</v>
      </c>
      <c r="L202" s="2">
        <f t="shared" si="18"/>
        <v>7.0241520298092199</v>
      </c>
      <c r="M202" s="2">
        <f t="shared" si="19"/>
        <v>4.0611454028290597</v>
      </c>
      <c r="N202" s="2">
        <f t="shared" si="20"/>
        <v>4.1005958931914099</v>
      </c>
      <c r="O202" s="2">
        <f t="shared" si="21"/>
        <v>3.4168452104192828</v>
      </c>
    </row>
    <row r="203" spans="1:15" x14ac:dyDescent="0.4">
      <c r="A203" s="1">
        <v>45535</v>
      </c>
      <c r="B203" s="38">
        <v>9.1178249475050901</v>
      </c>
      <c r="C203" s="38">
        <v>17.772133161165399</v>
      </c>
      <c r="D203" s="38">
        <v>6.4638280430619401</v>
      </c>
      <c r="E203" s="38">
        <v>6.5364943152859798</v>
      </c>
      <c r="F203" s="38">
        <v>3.8116405069097001</v>
      </c>
      <c r="G203" s="38">
        <v>4.0602457481412397</v>
      </c>
      <c r="H203" s="38">
        <v>1.7641960545991999</v>
      </c>
      <c r="I203" s="2">
        <f t="shared" si="15"/>
        <v>9.1178249475050901</v>
      </c>
      <c r="J203" s="2">
        <f t="shared" si="16"/>
        <v>17.772133161165399</v>
      </c>
      <c r="K203" s="2">
        <f t="shared" si="17"/>
        <v>12.186068916414724</v>
      </c>
      <c r="L203" s="2">
        <f t="shared" si="18"/>
        <v>6.5364943152859798</v>
      </c>
      <c r="M203" s="2">
        <f t="shared" si="19"/>
        <v>3.8116405069097001</v>
      </c>
      <c r="N203" s="2">
        <f t="shared" si="20"/>
        <v>4.0602457481412397</v>
      </c>
      <c r="O203" s="2">
        <f t="shared" si="21"/>
        <v>3.2620674378549923</v>
      </c>
    </row>
    <row r="204" spans="1:15" x14ac:dyDescent="0.4">
      <c r="A204" s="1">
        <v>45565</v>
      </c>
      <c r="B204" s="38">
        <v>11.0872787418194</v>
      </c>
      <c r="C204" s="38">
        <v>21.684885672334399</v>
      </c>
      <c r="D204" s="38">
        <v>8.0783004281545399</v>
      </c>
      <c r="E204" s="38">
        <v>7.5315408399624397</v>
      </c>
      <c r="F204" s="38">
        <v>4.5084040559657099</v>
      </c>
      <c r="G204" s="38">
        <v>4.8198480640078003</v>
      </c>
      <c r="H204" s="38">
        <v>2.1597533285370498</v>
      </c>
      <c r="I204" s="2">
        <f t="shared" si="15"/>
        <v>11.0872787418194</v>
      </c>
      <c r="J204" s="2">
        <f t="shared" si="16"/>
        <v>21.684885672334399</v>
      </c>
      <c r="K204" s="2">
        <f t="shared" si="17"/>
        <v>15.229787223479587</v>
      </c>
      <c r="L204" s="2">
        <f t="shared" si="18"/>
        <v>7.5315408399624397</v>
      </c>
      <c r="M204" s="2">
        <f t="shared" si="19"/>
        <v>4.5084040559657099</v>
      </c>
      <c r="N204" s="2">
        <f t="shared" si="20"/>
        <v>4.8198480640078003</v>
      </c>
      <c r="O204" s="2">
        <f t="shared" si="21"/>
        <v>3.9934682930805145</v>
      </c>
    </row>
    <row r="205" spans="1:15" x14ac:dyDescent="0.4">
      <c r="A205" s="1">
        <v>45596</v>
      </c>
      <c r="B205" s="38">
        <v>15.4139808083604</v>
      </c>
      <c r="C205" s="38">
        <v>30.674476474393501</v>
      </c>
      <c r="D205" s="38">
        <v>7.85994365246159</v>
      </c>
      <c r="E205" s="38">
        <v>8.8423695395499706</v>
      </c>
      <c r="F205" s="38">
        <v>4.2479728056512602</v>
      </c>
      <c r="G205" s="38">
        <v>6.9117810257606003</v>
      </c>
      <c r="H205" s="38">
        <v>2.2802636080718202</v>
      </c>
      <c r="I205" s="2">
        <f t="shared" si="15"/>
        <v>15.4139808083604</v>
      </c>
      <c r="J205" s="2">
        <f t="shared" si="16"/>
        <v>30.674476474393501</v>
      </c>
      <c r="K205" s="2">
        <f t="shared" si="17"/>
        <v>14.818125480742397</v>
      </c>
      <c r="L205" s="2">
        <f t="shared" si="18"/>
        <v>8.8423695395499706</v>
      </c>
      <c r="M205" s="2">
        <f t="shared" si="19"/>
        <v>4.2479728056512602</v>
      </c>
      <c r="N205" s="2">
        <f t="shared" si="20"/>
        <v>6.9117810257606003</v>
      </c>
      <c r="O205" s="2">
        <f t="shared" si="21"/>
        <v>4.2162965086704691</v>
      </c>
    </row>
    <row r="206" spans="1:15" x14ac:dyDescent="0.4">
      <c r="A206" s="1">
        <v>45626</v>
      </c>
      <c r="B206" s="38">
        <v>14.679230880180199</v>
      </c>
      <c r="C206" s="38">
        <v>27.7514574989487</v>
      </c>
      <c r="D206" s="38">
        <v>8.0343677666044506</v>
      </c>
      <c r="E206" s="38">
        <v>8.5861265595831799</v>
      </c>
      <c r="F206" s="38">
        <v>4.2124062410735004</v>
      </c>
      <c r="G206" s="38">
        <v>7.5375868613895296</v>
      </c>
      <c r="H206" s="38">
        <v>2.3341636189341002</v>
      </c>
      <c r="I206" s="2">
        <f t="shared" ref="I206" si="22">B206/B$16</f>
        <v>14.679230880180199</v>
      </c>
      <c r="J206" s="2">
        <f t="shared" ref="J206" si="23">C206/C$16</f>
        <v>27.7514574989487</v>
      </c>
      <c r="K206" s="2">
        <f t="shared" ref="K206" si="24">D206/D$16</f>
        <v>15.146962241477544</v>
      </c>
      <c r="L206" s="2">
        <f t="shared" ref="L206" si="25">E206/E$16</f>
        <v>8.5861265595831799</v>
      </c>
      <c r="M206" s="2">
        <f t="shared" ref="M206" si="26">F206/F$16</f>
        <v>4.2124062410735004</v>
      </c>
      <c r="N206" s="2">
        <f t="shared" ref="N206" si="27">G206/G$16</f>
        <v>7.5375868613895296</v>
      </c>
      <c r="O206" s="2">
        <f t="shared" ref="O206:O211" si="28">H206/H$16</f>
        <v>4.3159597348042666</v>
      </c>
    </row>
    <row r="207" spans="1:15" x14ac:dyDescent="0.4">
      <c r="A207" s="1">
        <v>45657</v>
      </c>
      <c r="B207" s="38">
        <v>14.3098207200165</v>
      </c>
      <c r="C207" s="38">
        <v>26.063661090602899</v>
      </c>
      <c r="D207" s="38">
        <v>8.1820808328456298</v>
      </c>
      <c r="E207" s="38">
        <v>8.6501046879181303</v>
      </c>
      <c r="F207" s="38">
        <v>4.3062545851135701</v>
      </c>
      <c r="G207" s="38">
        <v>7.3972835917180797</v>
      </c>
      <c r="H207" s="38">
        <v>2.2637043850609402</v>
      </c>
      <c r="I207" s="2">
        <f t="shared" ref="I207" si="29">B207/B$16</f>
        <v>14.3098207200165</v>
      </c>
      <c r="J207" s="2">
        <f t="shared" ref="J207" si="30">C207/C$16</f>
        <v>26.063661090602899</v>
      </c>
      <c r="K207" s="2">
        <f t="shared" ref="K207" si="31">D207/D$16</f>
        <v>15.425441432612903</v>
      </c>
      <c r="L207" s="2">
        <f t="shared" ref="L207" si="32">E207/E$16</f>
        <v>8.6501046879181303</v>
      </c>
      <c r="M207" s="2">
        <f t="shared" ref="M207" si="33">F207/F$16</f>
        <v>4.3062545851135701</v>
      </c>
      <c r="N207" s="2">
        <f t="shared" ref="N207" si="34">G207/G$16</f>
        <v>7.3972835917180797</v>
      </c>
      <c r="O207" s="2">
        <f t="shared" si="28"/>
        <v>4.1856778583004326</v>
      </c>
    </row>
    <row r="208" spans="1:15" x14ac:dyDescent="0.4">
      <c r="A208" s="1">
        <v>45688</v>
      </c>
      <c r="B208" s="38">
        <v>13.751754717634901</v>
      </c>
      <c r="C208" s="38">
        <v>26.178455278910199</v>
      </c>
      <c r="D208" s="38">
        <v>7.7142207021726703</v>
      </c>
      <c r="E208" s="38">
        <v>8.4171858115944094</v>
      </c>
      <c r="F208" s="38">
        <v>4.3249491111664504</v>
      </c>
      <c r="G208" s="38">
        <v>7.2661840498011303</v>
      </c>
      <c r="H208" s="38">
        <v>2.21239024418227</v>
      </c>
      <c r="I208" s="2">
        <f t="shared" ref="I208" si="35">B208/B$16</f>
        <v>13.751754717634901</v>
      </c>
      <c r="J208" s="2">
        <f t="shared" ref="J208" si="36">C208/C$16</f>
        <v>26.178455278910199</v>
      </c>
      <c r="K208" s="2">
        <f t="shared" ref="K208" si="37">D208/D$16</f>
        <v>14.543398197916529</v>
      </c>
      <c r="L208" s="2">
        <f t="shared" ref="L208" si="38">E208/E$16</f>
        <v>8.4171858115944094</v>
      </c>
      <c r="M208" s="2">
        <f t="shared" ref="M208" si="39">F208/F$16</f>
        <v>4.3249491111664504</v>
      </c>
      <c r="N208" s="2">
        <f t="shared" ref="N208" si="40">G208/G$16</f>
        <v>7.2661840498011303</v>
      </c>
      <c r="O208" s="2">
        <f t="shared" si="28"/>
        <v>4.0907960068047142</v>
      </c>
    </row>
    <row r="209" spans="1:15" x14ac:dyDescent="0.4">
      <c r="A209" s="1">
        <v>45716</v>
      </c>
      <c r="B209" s="38">
        <v>14.599036706542099</v>
      </c>
      <c r="C209" s="38">
        <v>29.2404743341529</v>
      </c>
      <c r="D209" s="38">
        <v>7.7617331492205004</v>
      </c>
      <c r="E209" s="38">
        <v>8.6377264702497492</v>
      </c>
      <c r="F209" s="38">
        <v>4.3436233130770603</v>
      </c>
      <c r="G209" s="38">
        <v>7.5587750366650797</v>
      </c>
      <c r="H209" s="38">
        <v>2.31256971930289</v>
      </c>
      <c r="I209" s="2">
        <f t="shared" ref="I209" si="41">B209/B$16</f>
        <v>14.599036706542099</v>
      </c>
      <c r="J209" s="2">
        <f t="shared" ref="J209" si="42">C209/C$16</f>
        <v>29.2404743341529</v>
      </c>
      <c r="K209" s="2">
        <f t="shared" ref="K209" si="43">D209/D$16</f>
        <v>14.632972046455683</v>
      </c>
      <c r="L209" s="2">
        <f t="shared" ref="L209" si="44">E209/E$16</f>
        <v>8.6377264702497492</v>
      </c>
      <c r="M209" s="2">
        <f t="shared" ref="M209" si="45">F209/F$16</f>
        <v>4.3436233130770603</v>
      </c>
      <c r="N209" s="2">
        <f t="shared" ref="N209" si="46">G209/G$16</f>
        <v>7.5587750366650797</v>
      </c>
      <c r="O209" s="2">
        <f t="shared" si="28"/>
        <v>4.2760317706419828</v>
      </c>
    </row>
    <row r="210" spans="1:15" x14ac:dyDescent="0.4">
      <c r="A210" s="1">
        <v>45747</v>
      </c>
      <c r="B210" s="38">
        <v>14.709746445988699</v>
      </c>
      <c r="C210" s="38">
        <v>27.415252937101702</v>
      </c>
      <c r="D210" s="38">
        <v>7.9319034023892403</v>
      </c>
      <c r="E210" s="38">
        <v>8.3927338798209696</v>
      </c>
      <c r="F210" s="38">
        <v>4.4162725376351002</v>
      </c>
      <c r="G210" s="38">
        <v>7.6934870956487096</v>
      </c>
      <c r="H210" s="38">
        <v>2.3108297311030199</v>
      </c>
      <c r="I210" s="2">
        <f t="shared" ref="I210" si="47">B210/B$16</f>
        <v>14.709746445988699</v>
      </c>
      <c r="J210" s="2">
        <f t="shared" ref="J210" si="48">C210/C$16</f>
        <v>27.415252937101702</v>
      </c>
      <c r="K210" s="2">
        <f t="shared" ref="K210" si="49">D210/D$16</f>
        <v>14.953789125564688</v>
      </c>
      <c r="L210" s="2">
        <f t="shared" ref="L210" si="50">E210/E$16</f>
        <v>8.3927338798209696</v>
      </c>
      <c r="M210" s="2">
        <f t="shared" ref="M210" si="51">F210/F$16</f>
        <v>4.4162725376351002</v>
      </c>
      <c r="N210" s="2">
        <f t="shared" ref="N210" si="52">G210/G$16</f>
        <v>7.6934870956487096</v>
      </c>
      <c r="O210" s="2">
        <f t="shared" si="28"/>
        <v>4.2728144644734014</v>
      </c>
    </row>
    <row r="211" spans="1:15" x14ac:dyDescent="0.4">
      <c r="A211" s="1">
        <v>45777</v>
      </c>
      <c r="B211" s="38">
        <v>14.158371537216199</v>
      </c>
      <c r="C211" s="38">
        <v>25.643853860085901</v>
      </c>
      <c r="D211" s="38">
        <v>8.0494624239006694</v>
      </c>
      <c r="E211" s="38">
        <v>8.1459142364500501</v>
      </c>
      <c r="F211" s="38">
        <v>4.5727021128878</v>
      </c>
      <c r="G211" s="38">
        <v>7.6543408411696898</v>
      </c>
      <c r="H211" s="38">
        <v>2.2451079257166699</v>
      </c>
      <c r="I211" s="2">
        <f t="shared" ref="I211" si="53">B211/B$16</f>
        <v>14.158371537216199</v>
      </c>
      <c r="J211" s="2">
        <f t="shared" ref="J211" si="54">C211/C$16</f>
        <v>25.643853860085901</v>
      </c>
      <c r="K211" s="2">
        <f t="shared" ref="K211" si="55">D211/D$16</f>
        <v>15.175419764303948</v>
      </c>
      <c r="L211" s="2">
        <f t="shared" ref="L211" si="56">E211/E$16</f>
        <v>8.1459142364500501</v>
      </c>
      <c r="M211" s="2">
        <f t="shared" ref="M211" si="57">F211/F$16</f>
        <v>4.5727021128878</v>
      </c>
      <c r="N211" s="2">
        <f t="shared" ref="N211" si="58">G211/G$16</f>
        <v>7.6543408411696898</v>
      </c>
      <c r="O211" s="2">
        <f t="shared" si="28"/>
        <v>4.1512922783484809</v>
      </c>
    </row>
    <row r="212" spans="1:15" x14ac:dyDescent="0.4">
      <c r="A212" s="1">
        <v>45808</v>
      </c>
      <c r="B212" s="38">
        <v>14.3640040739737</v>
      </c>
      <c r="C212" s="38">
        <v>26.6276401787194</v>
      </c>
      <c r="D212" s="38">
        <v>8.4730912513610992</v>
      </c>
      <c r="E212" s="38">
        <v>8.7336729718418002</v>
      </c>
      <c r="F212" s="38">
        <v>4.8963337142378203</v>
      </c>
      <c r="G212" s="38">
        <v>8.2790803226428693</v>
      </c>
      <c r="H212" s="38">
        <v>2.3224633349886998</v>
      </c>
      <c r="I212" s="2">
        <f t="shared" ref="I212" si="59">B212/B$16</f>
        <v>14.3640040739737</v>
      </c>
      <c r="J212" s="2">
        <f t="shared" ref="J212" si="60">C212/C$16</f>
        <v>26.6276401787194</v>
      </c>
      <c r="K212" s="2">
        <f t="shared" ref="K212" si="61">D212/D$16</f>
        <v>15.974074996469952</v>
      </c>
      <c r="L212" s="2">
        <f t="shared" ref="L212" si="62">E212/E$16</f>
        <v>8.7336729718418002</v>
      </c>
      <c r="M212" s="2">
        <f t="shared" ref="M212" si="63">F212/F$16</f>
        <v>4.8963337142378203</v>
      </c>
      <c r="N212" s="2">
        <f t="shared" ref="N212" si="64">G212/G$16</f>
        <v>8.2790803226428693</v>
      </c>
      <c r="O212" s="2">
        <f t="shared" ref="O212" si="65">H212/H$16</f>
        <v>4.2943254526209191</v>
      </c>
    </row>
    <row r="213" spans="1:15" x14ac:dyDescent="0.4">
      <c r="A213" s="1">
        <v>45838</v>
      </c>
      <c r="B213" s="38">
        <v>14.522606277175701</v>
      </c>
      <c r="C213" s="38">
        <v>30.1049809704875</v>
      </c>
      <c r="D213" s="38">
        <v>8.8456618331462202</v>
      </c>
      <c r="E213" s="38">
        <v>10.4747128675008</v>
      </c>
      <c r="F213" s="38">
        <v>5.16668184973883</v>
      </c>
      <c r="G213" s="38">
        <v>8.4314015796316308</v>
      </c>
      <c r="H213" s="38">
        <v>2.43039447920866</v>
      </c>
      <c r="I213" s="2">
        <f t="shared" ref="I213" si="66">B213/B$16</f>
        <v>14.522606277175701</v>
      </c>
      <c r="J213" s="2">
        <f t="shared" ref="J213" si="67">C213/C$16</f>
        <v>30.1049809704875</v>
      </c>
      <c r="K213" s="2">
        <f t="shared" ref="K213" si="68">D213/D$16</f>
        <v>16.676471588027717</v>
      </c>
      <c r="L213" s="2">
        <f t="shared" ref="L213" si="69">E213/E$16</f>
        <v>10.4747128675008</v>
      </c>
      <c r="M213" s="2">
        <f t="shared" ref="M213" si="70">F213/F$16</f>
        <v>5.16668184973883</v>
      </c>
      <c r="N213" s="2">
        <f t="shared" ref="N213" si="71">G213/G$16</f>
        <v>8.4314015796316308</v>
      </c>
      <c r="O213" s="2">
        <f t="shared" ref="O213" si="72">H213/H$16</f>
        <v>4.4938943555058932</v>
      </c>
    </row>
    <row r="214" spans="1:15" x14ac:dyDescent="0.4">
      <c r="A214" s="1">
        <v>45869</v>
      </c>
      <c r="B214" s="38">
        <v>15.5314079911516</v>
      </c>
      <c r="C214" s="38">
        <v>31.2676657606163</v>
      </c>
      <c r="D214" s="38">
        <v>9.3184162557713002</v>
      </c>
      <c r="E214" s="38">
        <v>10.3173866742497</v>
      </c>
      <c r="F214" s="38">
        <v>5.3016175931443801</v>
      </c>
      <c r="G214" s="38">
        <v>8.6088926281801506</v>
      </c>
      <c r="H214" s="38">
        <v>2.5300531569523201</v>
      </c>
      <c r="I214" s="2">
        <f t="shared" ref="I214" si="73">B214/B$16</f>
        <v>15.5314079911516</v>
      </c>
      <c r="J214" s="2">
        <f t="shared" ref="J214" si="74">C214/C$16</f>
        <v>31.2676657606163</v>
      </c>
      <c r="K214" s="2">
        <f t="shared" ref="K214" si="75">D214/D$16</f>
        <v>17.567741890435091</v>
      </c>
      <c r="L214" s="2">
        <f t="shared" ref="L214" si="76">E214/E$16</f>
        <v>10.3173866742497</v>
      </c>
      <c r="M214" s="2">
        <f t="shared" ref="M214" si="77">F214/F$16</f>
        <v>5.3016175931443801</v>
      </c>
      <c r="N214" s="2">
        <f t="shared" ref="N214" si="78">G214/G$16</f>
        <v>8.6088926281801506</v>
      </c>
      <c r="O214" s="2">
        <f t="shared" ref="O214" si="79">H214/H$16</f>
        <v>4.6781671446439095</v>
      </c>
    </row>
    <row r="215" spans="1:15" x14ac:dyDescent="0.4">
      <c r="A215" s="1">
        <v>45900</v>
      </c>
      <c r="B215" s="38">
        <v>17.155393495612401</v>
      </c>
      <c r="C215" s="38">
        <v>33.936308602709602</v>
      </c>
      <c r="D215" s="38">
        <v>11.1526064233173</v>
      </c>
      <c r="E215" s="38">
        <v>12.4654805472232</v>
      </c>
      <c r="F215" s="38">
        <v>6.4334555756304601</v>
      </c>
      <c r="G215" s="38">
        <v>9.2062789432371801</v>
      </c>
      <c r="H215" s="38">
        <v>2.77558321929838</v>
      </c>
      <c r="I215" s="2">
        <f t="shared" ref="I215" si="80">B215/B$16</f>
        <v>17.155393495612401</v>
      </c>
      <c r="J215" s="2">
        <f t="shared" ref="J215" si="81">C215/C$16</f>
        <v>33.936308602709602</v>
      </c>
      <c r="K215" s="2">
        <f t="shared" ref="K215" si="82">D215/D$16</f>
        <v>21.025687807099327</v>
      </c>
      <c r="L215" s="2">
        <f t="shared" ref="L215" si="83">E215/E$16</f>
        <v>12.4654805472232</v>
      </c>
      <c r="M215" s="2">
        <f t="shared" ref="M215" si="84">F215/F$16</f>
        <v>6.4334555756304601</v>
      </c>
      <c r="N215" s="2">
        <f t="shared" ref="N215" si="85">G215/G$16</f>
        <v>9.2062789432371801</v>
      </c>
      <c r="O215" s="2">
        <f t="shared" ref="O215" si="86">H215/H$16</f>
        <v>5.1321618235831208</v>
      </c>
    </row>
    <row r="216" spans="1:15" x14ac:dyDescent="0.4">
      <c r="A216" s="1">
        <v>45930</v>
      </c>
      <c r="B216">
        <v>17.746708180755601</v>
      </c>
      <c r="C216">
        <v>36.0472327794986</v>
      </c>
      <c r="D216">
        <v>11.2068717414395</v>
      </c>
      <c r="E216">
        <v>13.525050663746301</v>
      </c>
      <c r="F216">
        <v>6.5024432273851396</v>
      </c>
      <c r="G216">
        <v>9.2887764080853099</v>
      </c>
      <c r="H216">
        <v>2.825494006295</v>
      </c>
      <c r="I216" s="2">
        <f t="shared" ref="I216" si="87">B216/B$16</f>
        <v>17.746708180755601</v>
      </c>
      <c r="J216" s="2">
        <f t="shared" ref="J216" si="88">C216/C$16</f>
        <v>36.0472327794986</v>
      </c>
      <c r="K216" s="2">
        <f t="shared" ref="K216" si="89">D216/D$16</f>
        <v>21.127992649060293</v>
      </c>
      <c r="L216" s="2">
        <f t="shared" ref="L216" si="90">E216/E$16</f>
        <v>13.525050663746301</v>
      </c>
      <c r="M216" s="2">
        <f t="shared" ref="M216" si="91">F216/F$16</f>
        <v>6.5024432273851396</v>
      </c>
      <c r="N216" s="2">
        <f t="shared" ref="N216" si="92">G216/G$16</f>
        <v>9.2887764080853099</v>
      </c>
      <c r="O216" s="2">
        <f t="shared" ref="O216" si="93">H216/H$16</f>
        <v>5.2244488189173097</v>
      </c>
    </row>
    <row r="217" spans="1:15" x14ac:dyDescent="0.4">
      <c r="A217" s="1">
        <v>45961</v>
      </c>
      <c r="B217">
        <v>17.931468893649001</v>
      </c>
      <c r="C217">
        <v>35.803783381620498</v>
      </c>
      <c r="D217">
        <v>11.058984036808599</v>
      </c>
      <c r="E217">
        <v>13.394664271349701</v>
      </c>
      <c r="F217">
        <v>6.2162815912992198</v>
      </c>
      <c r="G217">
        <v>9.7748263257733594</v>
      </c>
      <c r="H217">
        <v>2.8546569983605798</v>
      </c>
      <c r="I217" s="2">
        <f t="shared" ref="I217" si="94">B217/B$16</f>
        <v>17.931468893649001</v>
      </c>
      <c r="J217" s="2">
        <f t="shared" ref="J217" si="95">C217/C$16</f>
        <v>35.803783381620498</v>
      </c>
      <c r="K217" s="2">
        <f t="shared" ref="K217" si="96">D217/D$16</f>
        <v>20.849184217196619</v>
      </c>
      <c r="L217" s="2">
        <f t="shared" ref="L217" si="97">E217/E$16</f>
        <v>13.394664271349701</v>
      </c>
      <c r="M217" s="2">
        <f t="shared" ref="M217" si="98">F217/F$16</f>
        <v>6.2162815912992198</v>
      </c>
      <c r="N217" s="2">
        <f t="shared" ref="N217" si="99">G217/G$16</f>
        <v>9.7748263257733594</v>
      </c>
      <c r="O217" s="2">
        <f t="shared" ref="O217" si="100">H217/H$16</f>
        <v>5.2783723307399022</v>
      </c>
    </row>
    <row r="218" spans="1:15" x14ac:dyDescent="0.4">
      <c r="A218" s="1">
        <v>45991</v>
      </c>
      <c r="B218">
        <v>17.3103306410949</v>
      </c>
      <c r="C218">
        <v>34.191687204145403</v>
      </c>
      <c r="D218">
        <v>11.2337384249455</v>
      </c>
      <c r="E218">
        <v>12.7111879821627</v>
      </c>
      <c r="F218">
        <v>6.0512348703247101</v>
      </c>
      <c r="G218">
        <v>10.0368305690931</v>
      </c>
      <c r="H218">
        <v>2.8267554357570202</v>
      </c>
      <c r="I218" s="2">
        <f t="shared" ref="I218" si="101">B218/B$16</f>
        <v>17.3103306410949</v>
      </c>
      <c r="J218" s="2">
        <f t="shared" ref="J218" si="102">C218/C$16</f>
        <v>34.191687204145403</v>
      </c>
      <c r="K218" s="2">
        <f t="shared" ref="K218" si="103">D218/D$16</f>
        <v>21.178643633984162</v>
      </c>
      <c r="L218" s="2">
        <f t="shared" ref="L218" si="104">E218/E$16</f>
        <v>12.7111879821627</v>
      </c>
      <c r="M218" s="2">
        <f t="shared" ref="M218" si="105">F218/F$16</f>
        <v>6.0512348703247101</v>
      </c>
      <c r="N218" s="2">
        <f t="shared" ref="N218" si="106">G218/G$16</f>
        <v>10.0368305690931</v>
      </c>
      <c r="O218" s="2">
        <f t="shared" ref="O218" si="107">H218/H$16</f>
        <v>5.2267812512807534</v>
      </c>
    </row>
    <row r="219" spans="1:15" x14ac:dyDescent="0.4">
      <c r="A219" s="1">
        <v>46022</v>
      </c>
      <c r="B219">
        <v>19.245480081859501</v>
      </c>
      <c r="C219">
        <v>35.292429161911102</v>
      </c>
      <c r="D219">
        <v>11.6491542760401</v>
      </c>
      <c r="E219">
        <v>14.376069978751399</v>
      </c>
      <c r="F219">
        <v>6.2547019869878602</v>
      </c>
      <c r="G219">
        <v>9.9417841091778705</v>
      </c>
      <c r="H219">
        <v>2.92266688598058</v>
      </c>
      <c r="I219" s="2">
        <f t="shared" ref="I219" si="108">B219/B$16</f>
        <v>19.245480081859501</v>
      </c>
      <c r="J219" s="2">
        <f t="shared" ref="J219" si="109">C219/C$16</f>
        <v>35.292429161911102</v>
      </c>
      <c r="K219" s="2">
        <f t="shared" ref="K219" si="110">D219/D$16</f>
        <v>21.9618151782587</v>
      </c>
      <c r="L219" s="2">
        <f t="shared" ref="L219" si="111">E219/E$16</f>
        <v>14.376069978751399</v>
      </c>
      <c r="M219" s="2">
        <f t="shared" ref="M219" si="112">F219/F$16</f>
        <v>6.2547019869878602</v>
      </c>
      <c r="N219" s="2">
        <f t="shared" ref="N219" si="113">G219/G$16</f>
        <v>9.9417841091778705</v>
      </c>
      <c r="O219" s="2">
        <f t="shared" ref="O219" si="114">H219/H$16</f>
        <v>5.4041252703176879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6"/>
  <sheetViews>
    <sheetView topLeftCell="D1" workbookViewId="0">
      <selection activeCell="T12" sqref="T12:T16"/>
    </sheetView>
  </sheetViews>
  <sheetFormatPr defaultRowHeight="13.9" x14ac:dyDescent="0.4"/>
  <cols>
    <col min="2" max="2" width="16.46484375" style="30" customWidth="1"/>
    <col min="3" max="4" width="11.796875" style="30" customWidth="1"/>
    <col min="5" max="6" width="11.796875" style="31" customWidth="1"/>
    <col min="7" max="7" width="9.1328125" style="31"/>
    <col min="8" max="8" width="16.46484375" style="30" customWidth="1"/>
    <col min="9" max="10" width="11.796875" style="30" customWidth="1"/>
    <col min="11" max="11" width="11.796875" customWidth="1"/>
    <col min="12" max="12" width="11.796875" style="31" customWidth="1"/>
  </cols>
  <sheetData>
    <row r="1" spans="1:20" ht="16.05" customHeight="1" x14ac:dyDescent="0.4"/>
    <row r="2" spans="1:20" ht="16.05" customHeight="1" x14ac:dyDescent="0.4">
      <c r="B2" s="26" t="s">
        <v>28</v>
      </c>
      <c r="C2" s="26" t="s">
        <v>26</v>
      </c>
      <c r="D2" s="26" t="s">
        <v>27</v>
      </c>
      <c r="E2" s="35" t="s">
        <v>38</v>
      </c>
      <c r="F2" s="35" t="s">
        <v>37</v>
      </c>
      <c r="G2" s="27"/>
      <c r="H2" s="26" t="s">
        <v>31</v>
      </c>
      <c r="I2" s="26" t="s">
        <v>26</v>
      </c>
      <c r="J2" s="26" t="s">
        <v>27</v>
      </c>
      <c r="K2" s="35" t="s">
        <v>38</v>
      </c>
      <c r="L2" s="35" t="s">
        <v>37</v>
      </c>
      <c r="O2" s="55" t="s">
        <v>492</v>
      </c>
      <c r="P2" t="s">
        <v>97</v>
      </c>
      <c r="Q2" t="s">
        <v>502</v>
      </c>
      <c r="R2" t="s">
        <v>503</v>
      </c>
      <c r="S2" t="s">
        <v>489</v>
      </c>
    </row>
    <row r="3" spans="1:20" ht="16.05" customHeight="1" x14ac:dyDescent="0.4">
      <c r="A3" s="2" t="str">
        <f>[1]!to_windcode_index(B3&amp;"(中信)")</f>
        <v>CI005296.WI</v>
      </c>
      <c r="B3" s="36" t="s">
        <v>247</v>
      </c>
      <c r="C3" s="32">
        <f>[1]!i_info_numberofconstituents(A3)</f>
        <v>5</v>
      </c>
      <c r="D3" s="32" t="s">
        <v>501</v>
      </c>
      <c r="E3" s="56">
        <v>55.28</v>
      </c>
      <c r="F3" s="34">
        <f>[1]!i_pq_pctchange(A3,$B$25,$B$26)</f>
        <v>-1.4761435029867265</v>
      </c>
      <c r="G3" s="2" t="str">
        <f>[1]!to_windcode_index(H3&amp;"(中信)")</f>
        <v>CI005520.WI</v>
      </c>
      <c r="H3" s="28" t="s">
        <v>441</v>
      </c>
      <c r="I3" s="32">
        <f>[1]!i_info_numberofconstituents(G3)</f>
        <v>4</v>
      </c>
      <c r="J3" s="32" t="s">
        <v>500</v>
      </c>
      <c r="K3" s="56">
        <v>96</v>
      </c>
      <c r="L3" s="34">
        <f>[1]!i_pq_pctchange(G3,$B$25,$B$26)</f>
        <v>215.37562243476108</v>
      </c>
      <c r="O3" s="55" t="s">
        <v>504</v>
      </c>
      <c r="P3" t="s">
        <v>505</v>
      </c>
      <c r="Q3" s="55" t="s">
        <v>506</v>
      </c>
      <c r="R3" t="s">
        <v>81</v>
      </c>
      <c r="S3" t="s">
        <v>97</v>
      </c>
    </row>
    <row r="4" spans="1:20" ht="16.05" customHeight="1" x14ac:dyDescent="0.4">
      <c r="A4" s="2" t="str">
        <f>[1]!to_windcode_index(B4&amp;"(中信)")</f>
        <v>CI005504.WI</v>
      </c>
      <c r="B4" s="36" t="s">
        <v>421</v>
      </c>
      <c r="C4" s="32">
        <f>[1]!i_info_numberofconstituents(A4)</f>
        <v>16</v>
      </c>
      <c r="D4" s="32" t="s">
        <v>481</v>
      </c>
      <c r="E4" s="56">
        <v>204.79</v>
      </c>
      <c r="F4" s="34">
        <f>[1]!i_pq_pctchange(A4,$B$25,$B$26)</f>
        <v>9.5081395986391435</v>
      </c>
      <c r="G4" s="2" t="str">
        <f>[1]!to_windcode_index(H4&amp;"(中信)")</f>
        <v>CI005271.WI</v>
      </c>
      <c r="H4" s="28" t="s">
        <v>217</v>
      </c>
      <c r="I4" s="32">
        <f>[1]!i_info_numberofconstituents(G4)</f>
        <v>2</v>
      </c>
      <c r="J4" s="32" t="s">
        <v>484</v>
      </c>
      <c r="K4" s="56">
        <v>69</v>
      </c>
      <c r="L4" s="34">
        <f>[1]!i_pq_pctchange(G4,$B$25,$B$26)</f>
        <v>3.2276904880319535</v>
      </c>
      <c r="O4" t="s">
        <v>52</v>
      </c>
      <c r="P4" t="s">
        <v>96</v>
      </c>
      <c r="Q4" t="s">
        <v>507</v>
      </c>
      <c r="R4" t="s">
        <v>53</v>
      </c>
      <c r="S4" t="s">
        <v>54</v>
      </c>
    </row>
    <row r="5" spans="1:20" ht="16.05" customHeight="1" x14ac:dyDescent="0.4">
      <c r="A5" s="2" t="str">
        <f>[1]!to_windcode_index(B5&amp;"(中信)")</f>
        <v>CI005401.WI</v>
      </c>
      <c r="B5" s="36" t="s">
        <v>316</v>
      </c>
      <c r="C5" s="32">
        <f>[1]!i_info_numberofconstituents(A5)</f>
        <v>4</v>
      </c>
      <c r="D5" s="32" t="s">
        <v>527</v>
      </c>
      <c r="E5" s="56">
        <v>375.23</v>
      </c>
      <c r="F5" s="34">
        <f>[1]!i_pq_pctchange(A5,$B$25,$B$26)</f>
        <v>38.372126044066455</v>
      </c>
      <c r="G5" s="2" t="str">
        <f>[1]!to_windcode_index(H5&amp;"(中信)")</f>
        <v>CI005355.WI</v>
      </c>
      <c r="H5" s="36" t="s">
        <v>300</v>
      </c>
      <c r="I5" s="32">
        <f>[1]!i_info_numberofconstituents(G5)</f>
        <v>6</v>
      </c>
      <c r="J5" s="32" t="s">
        <v>532</v>
      </c>
      <c r="K5" s="56">
        <v>64</v>
      </c>
      <c r="L5" s="34">
        <f>[1]!i_pq_pctchange(G5,$B$25,$B$26)</f>
        <v>2.3596928347413559</v>
      </c>
      <c r="O5" t="s">
        <v>508</v>
      </c>
      <c r="P5" t="s">
        <v>509</v>
      </c>
      <c r="Q5" t="s">
        <v>94</v>
      </c>
      <c r="R5" t="s">
        <v>54</v>
      </c>
      <c r="S5" t="s">
        <v>491</v>
      </c>
    </row>
    <row r="6" spans="1:20" ht="16.05" customHeight="1" x14ac:dyDescent="0.4">
      <c r="A6" s="2" t="str">
        <f>[1]!to_windcode_index(B6&amp;"(中信)")</f>
        <v>CI005832.WI</v>
      </c>
      <c r="B6" s="36" t="s">
        <v>162</v>
      </c>
      <c r="C6" s="32">
        <f>[1]!i_info_numberofconstituents(A6)</f>
        <v>2</v>
      </c>
      <c r="D6" s="32" t="s">
        <v>523</v>
      </c>
      <c r="E6" s="56">
        <v>177.73</v>
      </c>
      <c r="F6" s="34">
        <f>[1]!i_pq_pctchange(A6,$B$25,$B$26)</f>
        <v>21.638421062042902</v>
      </c>
      <c r="G6" s="2" t="str">
        <f>[1]!to_windcode_index(H6&amp;"(中信)")</f>
        <v>CI005480.WI</v>
      </c>
      <c r="H6" s="36" t="s">
        <v>408</v>
      </c>
      <c r="I6" s="32">
        <f>[1]!i_info_numberofconstituents(G6)</f>
        <v>9</v>
      </c>
      <c r="J6" s="32" t="s">
        <v>533</v>
      </c>
      <c r="K6" s="56">
        <v>112</v>
      </c>
      <c r="L6" s="34">
        <f>[1]!i_pq_pctchange(G6,$B$25,$B$26)</f>
        <v>24.834118933044813</v>
      </c>
      <c r="O6" t="s">
        <v>99</v>
      </c>
      <c r="P6" t="s">
        <v>490</v>
      </c>
      <c r="Q6" t="s">
        <v>93</v>
      </c>
      <c r="R6" t="s">
        <v>98</v>
      </c>
      <c r="S6" t="s">
        <v>54</v>
      </c>
    </row>
    <row r="7" spans="1:20" ht="16.05" customHeight="1" x14ac:dyDescent="0.4">
      <c r="A7" s="2" t="str">
        <f>[1]!to_windcode_index(B7&amp;"(中信)")</f>
        <v>CI005402.WI</v>
      </c>
      <c r="B7" s="28" t="s">
        <v>318</v>
      </c>
      <c r="C7" s="32">
        <f>[1]!i_info_numberofconstituents(A7)</f>
        <v>7</v>
      </c>
      <c r="D7" s="32" t="s">
        <v>494</v>
      </c>
      <c r="E7" s="56">
        <v>546</v>
      </c>
      <c r="F7" s="34">
        <f>[1]!i_pq_pctchange(A7,$B$25,$B$26)</f>
        <v>29.108792462508926</v>
      </c>
      <c r="G7" s="2" t="str">
        <f>[1]!to_windcode_index(H7&amp;"(中信)")</f>
        <v>CI005555.WI</v>
      </c>
      <c r="H7" s="28" t="s">
        <v>56</v>
      </c>
      <c r="I7" s="32">
        <f>[1]!i_info_numberofconstituents(G7)</f>
        <v>19</v>
      </c>
      <c r="J7" s="32" t="s">
        <v>57</v>
      </c>
      <c r="K7" s="56">
        <v>833</v>
      </c>
      <c r="L7" s="34">
        <f>[1]!i_pq_pctchange(G7,$B$25,$B$26)</f>
        <v>27.746193005739485</v>
      </c>
      <c r="O7" t="s">
        <v>492</v>
      </c>
      <c r="P7" t="s">
        <v>71</v>
      </c>
      <c r="Q7" t="s">
        <v>510</v>
      </c>
      <c r="R7" t="s">
        <v>50</v>
      </c>
      <c r="S7" t="s">
        <v>95</v>
      </c>
    </row>
    <row r="8" spans="1:20" ht="16.05" customHeight="1" x14ac:dyDescent="0.4">
      <c r="B8" s="29"/>
      <c r="C8" s="29"/>
      <c r="D8" s="29"/>
      <c r="E8" s="27"/>
      <c r="F8" s="27"/>
      <c r="G8" s="27"/>
      <c r="H8" s="29"/>
      <c r="I8" s="29"/>
      <c r="J8" s="29"/>
      <c r="L8" s="27"/>
    </row>
    <row r="9" spans="1:20" ht="16.05" customHeight="1" x14ac:dyDescent="0.4">
      <c r="B9" s="29"/>
      <c r="C9" s="29"/>
      <c r="D9" s="29"/>
      <c r="E9" s="27"/>
      <c r="F9" s="27"/>
      <c r="G9" s="27"/>
      <c r="H9" s="29"/>
      <c r="I9" s="29"/>
      <c r="J9" s="29"/>
      <c r="L9" s="27"/>
    </row>
    <row r="10" spans="1:20" ht="16.05" customHeight="1" x14ac:dyDescent="0.4">
      <c r="B10" s="26" t="s">
        <v>29</v>
      </c>
      <c r="C10" s="26" t="s">
        <v>26</v>
      </c>
      <c r="D10" s="26" t="s">
        <v>27</v>
      </c>
      <c r="E10" s="35" t="s">
        <v>38</v>
      </c>
      <c r="F10" s="35" t="s">
        <v>37</v>
      </c>
      <c r="G10" s="27"/>
      <c r="H10" s="26" t="s">
        <v>32</v>
      </c>
      <c r="I10" s="26" t="s">
        <v>26</v>
      </c>
      <c r="J10" s="26" t="s">
        <v>27</v>
      </c>
      <c r="K10" s="35" t="s">
        <v>38</v>
      </c>
      <c r="L10" s="35" t="s">
        <v>37</v>
      </c>
    </row>
    <row r="11" spans="1:20" ht="16.05" customHeight="1" x14ac:dyDescent="0.4">
      <c r="A11" s="2" t="str">
        <f>[1]!to_windcode_index(B11&amp;"(中信)")</f>
        <v>CI005459.WI</v>
      </c>
      <c r="B11" s="36" t="s">
        <v>370</v>
      </c>
      <c r="C11" s="32">
        <f>[1]!i_info_numberofconstituents(A11)</f>
        <v>10</v>
      </c>
      <c r="D11" s="32" t="s">
        <v>528</v>
      </c>
      <c r="E11" s="56">
        <v>242.93</v>
      </c>
      <c r="F11" s="34">
        <f>[1]!i_pq_pctchange(A11,$B$25,$B$26)</f>
        <v>4.0477554697358809</v>
      </c>
      <c r="G11" s="2" t="str">
        <f>[1]!to_windcode_index(H11&amp;"(中信)")</f>
        <v>CI005544.WI</v>
      </c>
      <c r="H11" s="28" t="s">
        <v>460</v>
      </c>
      <c r="I11" s="32">
        <f>[1]!i_info_numberofconstituents(G11)</f>
        <v>18</v>
      </c>
      <c r="J11" s="32" t="s">
        <v>485</v>
      </c>
      <c r="K11" s="56">
        <v>275</v>
      </c>
      <c r="L11" s="34">
        <f>[1]!i_pq_pctchange(G11,$B$25,$B$26)</f>
        <v>-4.3111506800045714</v>
      </c>
    </row>
    <row r="12" spans="1:20" ht="16.05" customHeight="1" x14ac:dyDescent="0.4">
      <c r="A12" s="2" t="str">
        <f>[1]!to_windcode_index(B12&amp;"(中信)")</f>
        <v>CI005425.WI</v>
      </c>
      <c r="B12" s="36" t="s">
        <v>333</v>
      </c>
      <c r="C12" s="32">
        <f>[1]!i_info_numberofconstituents(A12)</f>
        <v>24</v>
      </c>
      <c r="D12" s="32" t="s">
        <v>529</v>
      </c>
      <c r="E12" s="56">
        <v>136.69</v>
      </c>
      <c r="F12" s="34">
        <f>[1]!i_pq_pctchange(A12,$B$25,$B$26)</f>
        <v>-1.6378814246757356</v>
      </c>
      <c r="G12" s="2" t="str">
        <f>[1]!to_windcode_index(H12&amp;"(中信)")</f>
        <v>CI005252.WI</v>
      </c>
      <c r="H12" s="28" t="s">
        <v>205</v>
      </c>
      <c r="I12" s="32">
        <f>[1]!i_info_numberofconstituents(G12)</f>
        <v>16</v>
      </c>
      <c r="J12" s="32" t="s">
        <v>486</v>
      </c>
      <c r="K12" s="56">
        <v>94</v>
      </c>
      <c r="L12" s="34">
        <f>[1]!i_pq_pctchange(G12,$B$25,$B$26)</f>
        <v>-4.878363783332162</v>
      </c>
      <c r="O12" s="55" t="s">
        <v>247</v>
      </c>
      <c r="P12" s="55" t="s">
        <v>370</v>
      </c>
      <c r="Q12" t="s">
        <v>34</v>
      </c>
      <c r="R12" t="s">
        <v>300</v>
      </c>
      <c r="S12" t="s">
        <v>460</v>
      </c>
      <c r="T12" t="s">
        <v>247</v>
      </c>
    </row>
    <row r="13" spans="1:20" ht="16.05" customHeight="1" x14ac:dyDescent="0.4">
      <c r="A13" s="2" t="str">
        <f>[1]!to_windcode_index(B13&amp;"(中信)")</f>
        <v>CI005420.WI</v>
      </c>
      <c r="B13" s="28" t="s">
        <v>86</v>
      </c>
      <c r="C13" s="32">
        <f>[1]!i_info_numberofconstituents(A13)</f>
        <v>30</v>
      </c>
      <c r="D13" s="32" t="s">
        <v>92</v>
      </c>
      <c r="E13" s="56">
        <v>220</v>
      </c>
      <c r="F13" s="34">
        <f>[1]!i_pq_pctchange(A13,$B$25,$B$26)</f>
        <v>13.423447893754314</v>
      </c>
      <c r="G13" s="2" t="str">
        <f>[1]!to_windcode_index(H13&amp;"(中信)")</f>
        <v>CI005523.WI</v>
      </c>
      <c r="H13" s="28" t="s">
        <v>445</v>
      </c>
      <c r="I13" s="32">
        <f>[1]!i_info_numberofconstituents(G13)</f>
        <v>3</v>
      </c>
      <c r="J13" s="32" t="s">
        <v>487</v>
      </c>
      <c r="K13" s="56">
        <v>154</v>
      </c>
      <c r="L13" s="34">
        <f>[1]!i_pq_pctchange(G13,$B$25,$B$26)</f>
        <v>-15.103584833739248</v>
      </c>
      <c r="O13" t="s">
        <v>421</v>
      </c>
      <c r="P13" t="s">
        <v>333</v>
      </c>
      <c r="Q13" t="s">
        <v>397</v>
      </c>
      <c r="R13" t="s">
        <v>408</v>
      </c>
      <c r="S13" t="s">
        <v>241</v>
      </c>
      <c r="T13" t="s">
        <v>77</v>
      </c>
    </row>
    <row r="14" spans="1:20" ht="16.05" customHeight="1" x14ac:dyDescent="0.4">
      <c r="A14" s="2" t="str">
        <f>[1]!to_windcode_index(B14&amp;"(中信)")</f>
        <v>CI005288.WI</v>
      </c>
      <c r="B14" s="36" t="s">
        <v>231</v>
      </c>
      <c r="C14" s="32">
        <f>[1]!i_info_numberofconstituents(A14)</f>
        <v>17</v>
      </c>
      <c r="D14" s="32" t="s">
        <v>530</v>
      </c>
      <c r="E14" s="56">
        <v>428.6</v>
      </c>
      <c r="F14" s="34">
        <f>[1]!i_pq_pctchange(A14,$B$25,$B$26)</f>
        <v>51.605210384650668</v>
      </c>
      <c r="G14" s="2" t="str">
        <f>[1]!to_windcode_index(H14&amp;"(中信)")</f>
        <v>CI005293.WI</v>
      </c>
      <c r="H14" s="36" t="s">
        <v>241</v>
      </c>
      <c r="I14" s="32">
        <f>[1]!i_info_numberofconstituents(G14)</f>
        <v>6</v>
      </c>
      <c r="J14" s="32" t="s">
        <v>499</v>
      </c>
      <c r="K14" s="56">
        <v>175</v>
      </c>
      <c r="L14" s="34">
        <f>[1]!i_pq_pctchange(G14,$B$25,$B$26)</f>
        <v>16.993320820693782</v>
      </c>
      <c r="O14" t="s">
        <v>316</v>
      </c>
      <c r="P14" s="55" t="s">
        <v>231</v>
      </c>
      <c r="Q14" t="s">
        <v>152</v>
      </c>
      <c r="R14" t="s">
        <v>217</v>
      </c>
      <c r="S14" t="s">
        <v>205</v>
      </c>
      <c r="T14" t="s">
        <v>213</v>
      </c>
    </row>
    <row r="15" spans="1:20" ht="16.05" customHeight="1" x14ac:dyDescent="0.4">
      <c r="A15" s="2" t="str">
        <f>[1]!to_windcode_index(B15&amp;"(中信)")</f>
        <v>CI005504.WI</v>
      </c>
      <c r="B15" s="28" t="s">
        <v>421</v>
      </c>
      <c r="C15" s="32">
        <f>[1]!i_info_numberofconstituents(A15)</f>
        <v>16</v>
      </c>
      <c r="D15" s="32" t="s">
        <v>481</v>
      </c>
      <c r="E15" s="56">
        <v>204.79</v>
      </c>
      <c r="F15" s="34">
        <f>[1]!i_pq_pctchange(A15,$B$25,$B$26)</f>
        <v>9.5081395986391435</v>
      </c>
      <c r="G15" s="2" t="str">
        <f>[1]!to_windcode_index(H15&amp;"(中信)")</f>
        <v>CI005555.WI</v>
      </c>
      <c r="H15" s="28" t="s">
        <v>56</v>
      </c>
      <c r="I15" s="32">
        <f>[1]!i_info_numberofconstituents(G15)</f>
        <v>19</v>
      </c>
      <c r="J15" s="32" t="s">
        <v>57</v>
      </c>
      <c r="K15" s="56">
        <v>833</v>
      </c>
      <c r="L15" s="34">
        <f>[1]!i_pq_pctchange(G15,$B$25,$B$26)</f>
        <v>27.746193005739485</v>
      </c>
      <c r="O15" t="s">
        <v>162</v>
      </c>
      <c r="P15" t="s">
        <v>86</v>
      </c>
      <c r="Q15" t="s">
        <v>35</v>
      </c>
      <c r="R15" t="s">
        <v>56</v>
      </c>
      <c r="S15" t="s">
        <v>445</v>
      </c>
      <c r="T15" t="s">
        <v>36</v>
      </c>
    </row>
    <row r="16" spans="1:20" ht="16.05" customHeight="1" x14ac:dyDescent="0.4">
      <c r="B16" s="29"/>
      <c r="C16" s="29"/>
      <c r="D16" s="29"/>
      <c r="E16" s="27"/>
      <c r="F16" s="27"/>
      <c r="G16" s="27"/>
      <c r="H16" s="29"/>
      <c r="I16" s="29"/>
      <c r="J16" s="29"/>
      <c r="L16" s="27"/>
      <c r="O16" t="s">
        <v>318</v>
      </c>
      <c r="P16" t="s">
        <v>421</v>
      </c>
      <c r="Q16" t="s">
        <v>56</v>
      </c>
      <c r="R16" t="s">
        <v>441</v>
      </c>
      <c r="S16" t="s">
        <v>56</v>
      </c>
      <c r="T16" t="s">
        <v>343</v>
      </c>
    </row>
    <row r="17" spans="1:12" ht="16.05" customHeight="1" x14ac:dyDescent="0.4">
      <c r="B17" s="29"/>
      <c r="C17" s="29"/>
      <c r="D17" s="29"/>
      <c r="E17" s="27"/>
      <c r="F17" s="27"/>
      <c r="G17" s="27"/>
      <c r="H17" s="29"/>
      <c r="I17" s="29"/>
      <c r="J17" s="29"/>
      <c r="L17" s="27"/>
    </row>
    <row r="18" spans="1:12" ht="16.05" customHeight="1" x14ac:dyDescent="0.4">
      <c r="B18" s="26" t="s">
        <v>30</v>
      </c>
      <c r="C18" s="26" t="s">
        <v>26</v>
      </c>
      <c r="D18" s="26" t="s">
        <v>27</v>
      </c>
      <c r="E18" s="35" t="s">
        <v>38</v>
      </c>
      <c r="F18" s="35" t="s">
        <v>37</v>
      </c>
      <c r="G18" s="27"/>
      <c r="H18" s="26" t="s">
        <v>33</v>
      </c>
      <c r="I18" s="26" t="s">
        <v>26</v>
      </c>
      <c r="J18" s="26" t="s">
        <v>27</v>
      </c>
      <c r="K18" s="35" t="s">
        <v>38</v>
      </c>
      <c r="L18" s="35" t="s">
        <v>37</v>
      </c>
    </row>
    <row r="19" spans="1:12" ht="16.05" customHeight="1" x14ac:dyDescent="0.4">
      <c r="A19" s="2" t="str">
        <f>[1]!to_windcode_index(B19&amp;"(中信)")</f>
        <v>CI005824.WI</v>
      </c>
      <c r="B19" s="36" t="s">
        <v>152</v>
      </c>
      <c r="C19" s="32">
        <f>[1]!i_info_numberofconstituents(A19)</f>
        <v>14</v>
      </c>
      <c r="D19" s="32" t="s">
        <v>531</v>
      </c>
      <c r="E19" s="56">
        <v>117</v>
      </c>
      <c r="F19" s="34">
        <f>[1]!i_pq_pctchange(A19,$B$25,$B$26)</f>
        <v>10.130312435443622</v>
      </c>
      <c r="G19" s="2" t="str">
        <f>[1]!to_windcode_index(H19&amp;"(中信)")</f>
        <v>CI005296.WI</v>
      </c>
      <c r="H19" s="28" t="s">
        <v>247</v>
      </c>
      <c r="I19" s="32">
        <f>[1]!i_info_numberofconstituents(G19)</f>
        <v>5</v>
      </c>
      <c r="J19" s="32" t="s">
        <v>501</v>
      </c>
      <c r="K19" s="56">
        <v>55</v>
      </c>
      <c r="L19" s="34">
        <f>[1]!i_pq_pctchange(G19,$B$25,$B$26)</f>
        <v>-1.4761435029867265</v>
      </c>
    </row>
    <row r="20" spans="1:12" ht="16.05" customHeight="1" x14ac:dyDescent="0.4">
      <c r="A20" s="2" t="str">
        <f>[1]!to_windcode_index(B20&amp;"(中信)")</f>
        <v>CI005324.WI</v>
      </c>
      <c r="B20" s="28" t="s">
        <v>34</v>
      </c>
      <c r="C20" s="32">
        <f>[1]!i_info_numberofconstituents(A20)</f>
        <v>19</v>
      </c>
      <c r="D20" s="32" t="s">
        <v>51</v>
      </c>
      <c r="E20" s="56">
        <v>1441</v>
      </c>
      <c r="F20" s="34">
        <f>[1]!i_pq_pctchange(A20,$B$25,$B$26)</f>
        <v>-6.3267298527273086</v>
      </c>
      <c r="G20" s="2" t="str">
        <f>[1]!to_windcode_index(H20&amp;"(中信)")</f>
        <v>CI005261.WI</v>
      </c>
      <c r="H20" s="36" t="s">
        <v>213</v>
      </c>
      <c r="I20" s="32">
        <f>[1]!i_info_numberofconstituents(G20)</f>
        <v>6</v>
      </c>
      <c r="J20" s="32" t="s">
        <v>534</v>
      </c>
      <c r="K20" s="56">
        <v>46</v>
      </c>
      <c r="L20" s="34">
        <f>[1]!i_pq_pctchange(G20,$B$25,$B$26)</f>
        <v>13.618767572447599</v>
      </c>
    </row>
    <row r="21" spans="1:12" ht="16.05" customHeight="1" x14ac:dyDescent="0.4">
      <c r="A21" s="2" t="str">
        <f>[1]!to_windcode_index(B21&amp;"(中信)")</f>
        <v>CI005473.WI</v>
      </c>
      <c r="B21" s="28" t="s">
        <v>397</v>
      </c>
      <c r="C21" s="32">
        <f>[1]!i_info_numberofconstituents(A21)</f>
        <v>22</v>
      </c>
      <c r="D21" s="32" t="s">
        <v>482</v>
      </c>
      <c r="E21" s="56">
        <v>93</v>
      </c>
      <c r="F21" s="34">
        <f>[1]!i_pq_pctchange(A21,$B$25,$B$26)</f>
        <v>-2.5802420259801506</v>
      </c>
      <c r="G21" s="2" t="str">
        <f>[1]!to_windcode_index(H21&amp;"(中信)")</f>
        <v>CI005386.WI</v>
      </c>
      <c r="H21" s="28" t="s">
        <v>77</v>
      </c>
      <c r="I21" s="32">
        <f>[1]!i_info_numberofconstituents(G21)</f>
        <v>9</v>
      </c>
      <c r="J21" s="32" t="s">
        <v>535</v>
      </c>
      <c r="K21" s="56">
        <v>76</v>
      </c>
      <c r="L21" s="34">
        <f>[1]!i_pq_pctchange(G21,$B$25,$B$26)</f>
        <v>17.695642094585828</v>
      </c>
    </row>
    <row r="22" spans="1:12" ht="16.05" customHeight="1" x14ac:dyDescent="0.4">
      <c r="A22" s="2" t="str">
        <f>[1]!to_windcode_index(B22&amp;"(中信)")</f>
        <v>CI005328.WI</v>
      </c>
      <c r="B22" s="28" t="s">
        <v>35</v>
      </c>
      <c r="C22" s="32">
        <f>[1]!i_info_numberofconstituents(A22)</f>
        <v>7</v>
      </c>
      <c r="D22" s="32" t="s">
        <v>483</v>
      </c>
      <c r="E22" s="56">
        <v>304</v>
      </c>
      <c r="F22" s="34">
        <f>[1]!i_pq_pctchange(A22,$B$25,$B$26)</f>
        <v>-8.3352774191613577</v>
      </c>
      <c r="G22" s="2" t="str">
        <f>[1]!to_windcode_index(H22&amp;"(中信)")</f>
        <v>CI005388.WI</v>
      </c>
      <c r="H22" s="28" t="s">
        <v>36</v>
      </c>
      <c r="I22" s="32">
        <f>[1]!i_info_numberofconstituents(G22)</f>
        <v>5</v>
      </c>
      <c r="J22" s="32" t="s">
        <v>80</v>
      </c>
      <c r="K22" s="56">
        <v>37</v>
      </c>
      <c r="L22" s="34">
        <f>[1]!i_pq_pctchange(G22,$B$25,$B$26)</f>
        <v>-2.7762245468755498</v>
      </c>
    </row>
    <row r="23" spans="1:12" ht="16.05" customHeight="1" x14ac:dyDescent="0.4">
      <c r="A23" s="2" t="str">
        <f>[1]!to_windcode_index(B23&amp;"(中信)")</f>
        <v>CI005555.WI</v>
      </c>
      <c r="B23" s="28" t="s">
        <v>56</v>
      </c>
      <c r="C23" s="32">
        <f>[1]!i_info_numberofconstituents(A23)</f>
        <v>19</v>
      </c>
      <c r="D23" s="32" t="s">
        <v>57</v>
      </c>
      <c r="E23" s="56">
        <v>833</v>
      </c>
      <c r="F23" s="34">
        <f>[1]!i_pq_pctchange(A23,$B$25,$B$26)</f>
        <v>27.746193005739485</v>
      </c>
      <c r="G23" s="2" t="str">
        <f>[1]!to_windcode_index(H23&amp;"(中信)")</f>
        <v>CI005436.WI</v>
      </c>
      <c r="H23" s="28" t="s">
        <v>343</v>
      </c>
      <c r="I23" s="32">
        <f>[1]!i_info_numberofconstituents(G23)</f>
        <v>26</v>
      </c>
      <c r="J23" s="32" t="s">
        <v>488</v>
      </c>
      <c r="K23" s="56">
        <v>44</v>
      </c>
      <c r="L23" s="34">
        <f>[1]!i_pq_pctchange(G23,$B$25,$B$26)</f>
        <v>13.385277843330456</v>
      </c>
    </row>
    <row r="25" spans="1:12" x14ac:dyDescent="0.4">
      <c r="B25" s="33">
        <f>B26-90</f>
        <v>45932</v>
      </c>
    </row>
    <row r="26" spans="1:12" x14ac:dyDescent="0.4">
      <c r="B26" s="33">
        <v>46022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4"/>
  <sheetViews>
    <sheetView workbookViewId="0">
      <selection activeCell="T5" sqref="T5"/>
    </sheetView>
  </sheetViews>
  <sheetFormatPr defaultRowHeight="13.9" x14ac:dyDescent="0.4"/>
  <cols>
    <col min="1" max="2" width="13.59765625" customWidth="1"/>
    <col min="3" max="3" width="8.59765625" customWidth="1"/>
    <col min="5" max="5" width="10.59765625" customWidth="1"/>
    <col min="6" max="6" width="11.59765625" customWidth="1"/>
    <col min="7" max="7" width="8.59765625" customWidth="1"/>
    <col min="9" max="9" width="10.59765625" customWidth="1"/>
    <col min="10" max="10" width="9.59765625" customWidth="1"/>
    <col min="11" max="11" width="8.59765625" customWidth="1"/>
    <col min="13" max="13" width="10.59765625" customWidth="1"/>
    <col min="14" max="14" width="14.59765625" customWidth="1"/>
    <col min="15" max="15" width="8.59765625" customWidth="1"/>
    <col min="17" max="17" width="10.59765625" customWidth="1"/>
    <col min="18" max="18" width="9.59765625" customWidth="1"/>
    <col min="19" max="19" width="8.59765625" customWidth="1"/>
    <col min="20" max="20" width="9.265625" bestFit="1" customWidth="1"/>
  </cols>
  <sheetData>
    <row r="1" spans="1:20" x14ac:dyDescent="0.4">
      <c r="A1" s="52" t="s">
        <v>64</v>
      </c>
    </row>
    <row r="2" spans="1:20" x14ac:dyDescent="0.4">
      <c r="A2" t="s">
        <v>61</v>
      </c>
      <c r="B2" s="51" t="s">
        <v>62</v>
      </c>
      <c r="E2" t="s">
        <v>61</v>
      </c>
      <c r="F2" s="51" t="s">
        <v>62</v>
      </c>
      <c r="I2" t="s">
        <v>61</v>
      </c>
      <c r="J2" s="51" t="s">
        <v>62</v>
      </c>
      <c r="M2" t="s">
        <v>61</v>
      </c>
      <c r="N2" s="51" t="s">
        <v>62</v>
      </c>
      <c r="Q2" t="s">
        <v>61</v>
      </c>
      <c r="R2" s="51" t="s">
        <v>62</v>
      </c>
    </row>
    <row r="3" spans="1:20" x14ac:dyDescent="0.4">
      <c r="A3" t="s">
        <v>63</v>
      </c>
      <c r="B3" s="52" t="str">
        <f>A1</f>
        <v>20250630</v>
      </c>
      <c r="E3" t="s">
        <v>63</v>
      </c>
      <c r="F3" s="52" t="str">
        <f>A1</f>
        <v>20250630</v>
      </c>
      <c r="I3" t="s">
        <v>63</v>
      </c>
      <c r="J3" s="52" t="str">
        <f>A1</f>
        <v>20250630</v>
      </c>
      <c r="M3" t="s">
        <v>63</v>
      </c>
      <c r="N3" s="52" t="str">
        <f>A1</f>
        <v>20250630</v>
      </c>
      <c r="Q3" t="s">
        <v>63</v>
      </c>
      <c r="R3" s="52" t="str">
        <f>A1</f>
        <v>20250630</v>
      </c>
    </row>
    <row r="4" spans="1:20" x14ac:dyDescent="0.4">
      <c r="A4" t="s">
        <v>65</v>
      </c>
      <c r="B4" s="51" t="str">
        <f>recommend!A3</f>
        <v>CI005296.WI</v>
      </c>
      <c r="E4" t="s">
        <v>65</v>
      </c>
      <c r="F4" s="51" t="str">
        <f>recommend!A4</f>
        <v>CI005504.WI</v>
      </c>
      <c r="I4" t="s">
        <v>65</v>
      </c>
      <c r="J4" s="51" t="str">
        <f>recommend!A5</f>
        <v>CI005401.WI</v>
      </c>
      <c r="M4" t="s">
        <v>65</v>
      </c>
      <c r="N4" s="51" t="str">
        <f>recommend!A6</f>
        <v>CI005832.WI</v>
      </c>
      <c r="Q4" t="s">
        <v>65</v>
      </c>
      <c r="R4" s="51" t="str">
        <f>recommend!A7</f>
        <v>CI005402.WI</v>
      </c>
    </row>
    <row r="5" spans="1:20" x14ac:dyDescent="0.4">
      <c r="A5" t="s">
        <v>66</v>
      </c>
      <c r="B5" s="52" t="s">
        <v>68</v>
      </c>
      <c r="C5" t="s">
        <v>59</v>
      </c>
      <c r="D5" s="3">
        <f>AVERAGE(D7:D1000)</f>
        <v>67.564069912499988</v>
      </c>
      <c r="E5" t="s">
        <v>66</v>
      </c>
      <c r="F5" s="52" t="s">
        <v>68</v>
      </c>
      <c r="G5" t="s">
        <v>59</v>
      </c>
      <c r="H5" s="3">
        <f>AVERAGE(H7:H1000)</f>
        <v>34.922026476253457</v>
      </c>
      <c r="I5" t="s">
        <v>66</v>
      </c>
      <c r="J5" s="52" t="s">
        <v>68</v>
      </c>
      <c r="K5" t="s">
        <v>59</v>
      </c>
      <c r="L5" s="3">
        <f>AVERAGE(L7:L1000)</f>
        <v>24.158599296159998</v>
      </c>
      <c r="M5" t="s">
        <v>66</v>
      </c>
      <c r="N5" s="52" t="s">
        <v>68</v>
      </c>
      <c r="O5" t="s">
        <v>59</v>
      </c>
      <c r="P5" s="3">
        <f>AVERAGE(P7:P1000)</f>
        <v>66.63303293875002</v>
      </c>
      <c r="Q5" t="s">
        <v>66</v>
      </c>
      <c r="R5" s="52" t="s">
        <v>68</v>
      </c>
      <c r="S5" t="s">
        <v>59</v>
      </c>
      <c r="T5" s="54">
        <f>AVERAGE(T7:T1000)</f>
        <v>193.90818129474999</v>
      </c>
    </row>
    <row r="6" spans="1:20" x14ac:dyDescent="0.4">
      <c r="A6" t="s">
        <v>67</v>
      </c>
      <c r="B6" t="s">
        <v>69</v>
      </c>
      <c r="C6" t="s">
        <v>60</v>
      </c>
      <c r="D6" t="s">
        <v>70</v>
      </c>
      <c r="E6" t="s">
        <v>67</v>
      </c>
      <c r="F6" t="s">
        <v>69</v>
      </c>
      <c r="G6" t="s">
        <v>60</v>
      </c>
      <c r="H6" t="s">
        <v>70</v>
      </c>
      <c r="I6" t="s">
        <v>67</v>
      </c>
      <c r="J6" t="s">
        <v>69</v>
      </c>
      <c r="K6" t="s">
        <v>60</v>
      </c>
      <c r="L6" t="s">
        <v>70</v>
      </c>
      <c r="M6" t="s">
        <v>67</v>
      </c>
      <c r="N6" t="s">
        <v>69</v>
      </c>
      <c r="O6" t="s">
        <v>60</v>
      </c>
      <c r="P6" t="s">
        <v>70</v>
      </c>
      <c r="Q6" t="s">
        <v>67</v>
      </c>
      <c r="R6" t="s">
        <v>69</v>
      </c>
      <c r="S6" t="s">
        <v>60</v>
      </c>
      <c r="T6" t="s">
        <v>70</v>
      </c>
    </row>
    <row r="7" spans="1:20" x14ac:dyDescent="0.4">
      <c r="A7" s="51" t="str">
        <f>[1]!wset("indexconstituent","date="&amp;B3,"windcode="&amp;B4,"field=wind_code,sec_name,i_weight","cols=3;rows=5")</f>
        <v>000757.SZ</v>
      </c>
      <c r="B7" s="52" t="s">
        <v>571</v>
      </c>
      <c r="C7" s="53">
        <v>15.8619</v>
      </c>
      <c r="D7" s="3">
        <f>[1]!s_val_mv_ard(A7,$A$1,100000000)</f>
        <v>24.132039103499999</v>
      </c>
      <c r="E7" s="51" t="str">
        <f>[1]!wset("indexconstituent","date="&amp;F3,"windcode="&amp;F4,"field=wind_code,sec_name,i_weight","cols=3;rows=17")</f>
        <v>000404.SZ</v>
      </c>
      <c r="F7" s="52" t="s">
        <v>544</v>
      </c>
      <c r="G7" s="53">
        <v>3.3452000000000002</v>
      </c>
      <c r="H7" s="3">
        <f>[1]!s_val_mv_ard(E7,$A$1,100000000)</f>
        <v>49.41571450899999</v>
      </c>
      <c r="I7" s="51" t="str">
        <f>[1]!wset("indexconstituent","date="&amp;J3,"windcode="&amp;J4,"field=wind_code,sec_name,i_weight","cols=3;rows=4")</f>
        <v>000657.SZ</v>
      </c>
      <c r="J7" s="52" t="s">
        <v>525</v>
      </c>
      <c r="K7" s="53">
        <v>25.652899999999999</v>
      </c>
      <c r="L7" s="3">
        <f>[1]!s_val_mv_ard(I7,$A$1,100000000)</f>
        <v>270.28398946800002</v>
      </c>
      <c r="M7" s="51" t="str">
        <f>[1]!wset("indexconstituent","date="&amp;N3,"windcode="&amp;N4,"field=wind_code,sec_name,i_weight","cols=3;rows=2")</f>
        <v>300773.SZ</v>
      </c>
      <c r="N7" s="52" t="s">
        <v>523</v>
      </c>
      <c r="O7" s="53">
        <v>76.165700000000001</v>
      </c>
      <c r="P7" s="3">
        <f>[1]!s_val_mv_ard(M7,$A$1,100000000)</f>
        <v>263.61359625000006</v>
      </c>
      <c r="Q7" s="51" t="str">
        <f>[1]!wset("indexconstituent","date="&amp;R3,"windcode="&amp;R4,"field=wind_code,sec_name,i_weight","cols=3;rows=7")</f>
        <v>002192.SZ</v>
      </c>
      <c r="R7" s="52" t="s">
        <v>537</v>
      </c>
      <c r="S7" s="53">
        <v>4.7782999999999998</v>
      </c>
      <c r="T7" s="3">
        <f>[1]!s_val_mv_ard(Q7,$A$1,100000000)</f>
        <v>79.558354199199997</v>
      </c>
    </row>
    <row r="8" spans="1:20" x14ac:dyDescent="0.4">
      <c r="A8" s="52" t="s">
        <v>572</v>
      </c>
      <c r="B8" s="52" t="s">
        <v>511</v>
      </c>
      <c r="C8" s="53">
        <v>22.369700000000002</v>
      </c>
      <c r="D8" s="3">
        <f>[1]!s_val_mv_ard(A8,$A$1,100000000)</f>
        <v>82.081800000000001</v>
      </c>
      <c r="E8" s="52" t="s">
        <v>545</v>
      </c>
      <c r="F8" s="52" t="s">
        <v>481</v>
      </c>
      <c r="G8" s="53">
        <v>52.396500000000003</v>
      </c>
      <c r="H8" s="3">
        <f>[1]!s_val_mv_ard(E8,$A$1,100000000)</f>
        <v>1093.9176714330001</v>
      </c>
      <c r="I8" s="52" t="s">
        <v>566</v>
      </c>
      <c r="J8" s="52" t="s">
        <v>526</v>
      </c>
      <c r="K8" s="53">
        <v>12.247299999999999</v>
      </c>
      <c r="L8" s="3">
        <f>[1]!s_val_mv_ard(I8,$A$1,100000000)</f>
        <v>95.032137380599991</v>
      </c>
      <c r="M8" s="52" t="s">
        <v>570</v>
      </c>
      <c r="N8" s="52" t="s">
        <v>524</v>
      </c>
      <c r="O8" s="53">
        <v>23.834299999999999</v>
      </c>
      <c r="P8" s="3">
        <f>[1]!s_val_mv_ard(M8,$A$1,100000000)</f>
        <v>136.18460138250001</v>
      </c>
      <c r="Q8" s="52" t="s">
        <v>493</v>
      </c>
      <c r="R8" s="52" t="s">
        <v>538</v>
      </c>
      <c r="S8" s="53">
        <v>7.0153999999999996</v>
      </c>
      <c r="T8" s="3">
        <f>[1]!s_val_mv_ard(Q8,$A$1,100000000)</f>
        <v>117.88985071360001</v>
      </c>
    </row>
    <row r="9" spans="1:20" x14ac:dyDescent="0.4">
      <c r="A9" s="52" t="s">
        <v>573</v>
      </c>
      <c r="B9" s="52" t="s">
        <v>501</v>
      </c>
      <c r="C9" s="53">
        <v>28.667300000000001</v>
      </c>
      <c r="D9" s="3">
        <f>[1]!s_val_mv_ard(A9,$A$1,100000000)</f>
        <v>96.478370634000001</v>
      </c>
      <c r="E9" s="52" t="s">
        <v>546</v>
      </c>
      <c r="F9" s="52" t="s">
        <v>547</v>
      </c>
      <c r="G9" s="53">
        <v>4.1365999999999996</v>
      </c>
      <c r="H9" s="3">
        <f>[1]!s_val_mv_ard(E9,$A$1,100000000)</f>
        <v>77.535103125000006</v>
      </c>
      <c r="I9" s="52" t="s">
        <v>567</v>
      </c>
      <c r="J9" s="52" t="s">
        <v>568</v>
      </c>
      <c r="K9" s="53">
        <v>5.3636999999999997</v>
      </c>
      <c r="L9" s="3">
        <f>[1]!s_val_mv_ard(I9,$A$1,100000000)</f>
        <v>27.318897236999998</v>
      </c>
      <c r="P9" s="3">
        <f>[1]!s_val_mv_ard(M9,$A$1,100000000)</f>
        <v>0</v>
      </c>
      <c r="Q9" s="52" t="s">
        <v>539</v>
      </c>
      <c r="R9" s="52" t="s">
        <v>494</v>
      </c>
      <c r="S9" s="53">
        <v>29.405899999999999</v>
      </c>
      <c r="T9" s="3">
        <f>[1]!s_val_mv_ard(Q9,$A$1,100000000)</f>
        <v>681.19755896829997</v>
      </c>
    </row>
    <row r="10" spans="1:20" x14ac:dyDescent="0.4">
      <c r="A10" s="52" t="s">
        <v>574</v>
      </c>
      <c r="B10" s="52" t="s">
        <v>512</v>
      </c>
      <c r="C10" s="53">
        <v>25.9068</v>
      </c>
      <c r="E10" s="52" t="s">
        <v>548</v>
      </c>
      <c r="F10" s="52" t="s">
        <v>549</v>
      </c>
      <c r="G10" s="53">
        <v>2.8794</v>
      </c>
      <c r="H10" s="3">
        <f>[1]!s_val_mv_ard(E10,$A$1,100000000)</f>
        <v>40.342199999999998</v>
      </c>
      <c r="I10" s="52" t="s">
        <v>569</v>
      </c>
      <c r="J10" s="52" t="s">
        <v>527</v>
      </c>
      <c r="K10" s="53">
        <v>56.7361</v>
      </c>
      <c r="L10" s="3">
        <f>[1]!s_val_mv_ard(I10,$A$1,100000000)</f>
        <v>332.12295479920004</v>
      </c>
      <c r="P10" s="3">
        <f>[1]!s_val_mv_ard(M10,$A$1,100000000)</f>
        <v>0</v>
      </c>
      <c r="Q10" s="52" t="s">
        <v>495</v>
      </c>
      <c r="R10" s="52" t="s">
        <v>496</v>
      </c>
      <c r="S10" s="53">
        <v>25.523900000000001</v>
      </c>
      <c r="T10" s="3">
        <f>[1]!s_val_mv_ard(Q10,$A$1,100000000)</f>
        <v>525.84739519319999</v>
      </c>
    </row>
    <row r="11" spans="1:20" x14ac:dyDescent="0.4">
      <c r="A11" s="52" t="s">
        <v>575</v>
      </c>
      <c r="B11" s="52" t="s">
        <v>576</v>
      </c>
      <c r="C11" s="53">
        <v>7.1943000000000001</v>
      </c>
      <c r="E11" s="52" t="s">
        <v>513</v>
      </c>
      <c r="F11" s="52" t="s">
        <v>514</v>
      </c>
      <c r="G11" s="53">
        <v>3.3477999999999999</v>
      </c>
      <c r="H11" s="3">
        <f>[1]!s_val_mv_ard(E11,$A$1,100000000)</f>
        <v>52.055999999999997</v>
      </c>
      <c r="L11" s="3">
        <f>[1]!s_val_mv_ard(I11,$A$1,100000000)</f>
        <v>0</v>
      </c>
      <c r="P11" s="3">
        <f>[1]!s_val_mv_ard(M11,$A$1,100000000)</f>
        <v>0</v>
      </c>
      <c r="Q11" s="52" t="s">
        <v>540</v>
      </c>
      <c r="R11" s="52" t="s">
        <v>497</v>
      </c>
      <c r="S11" s="53">
        <v>9.0634999999999994</v>
      </c>
      <c r="T11" s="3">
        <f>[1]!s_val_mv_ard(Q11,$A$1,100000000)</f>
        <v>131.39212728000001</v>
      </c>
    </row>
    <row r="12" spans="1:20" x14ac:dyDescent="0.4">
      <c r="E12" s="52" t="s">
        <v>550</v>
      </c>
      <c r="F12" s="52" t="s">
        <v>515</v>
      </c>
      <c r="G12" s="53">
        <v>2.7873999999999999</v>
      </c>
      <c r="H12" s="3">
        <f>[1]!s_val_mv_ard(E12,$A$1,100000000)</f>
        <v>47.985649634400005</v>
      </c>
      <c r="L12" s="3">
        <f>[1]!s_val_mv_ard(I12,$A$1,100000000)</f>
        <v>0</v>
      </c>
      <c r="P12" s="3">
        <f>[1]!s_val_mv_ard(M12,$A$1,100000000)</f>
        <v>0</v>
      </c>
      <c r="Q12" s="52" t="s">
        <v>541</v>
      </c>
      <c r="R12" s="52" t="s">
        <v>542</v>
      </c>
      <c r="S12" s="53">
        <v>15.608700000000001</v>
      </c>
      <c r="T12" s="3">
        <f>[1]!s_val_mv_ard(Q12,$A$1,100000000)</f>
        <v>232.03178764319995</v>
      </c>
    </row>
    <row r="13" spans="1:20" x14ac:dyDescent="0.4">
      <c r="E13" s="52" t="s">
        <v>516</v>
      </c>
      <c r="F13" s="52" t="s">
        <v>517</v>
      </c>
      <c r="G13" s="53">
        <v>1.4118999999999999</v>
      </c>
      <c r="H13" s="3">
        <f>[1]!s_val_mv_ard(E13,$A$1,100000000)</f>
        <v>44.871414181999995</v>
      </c>
      <c r="L13" s="3">
        <f>[1]!s_val_mv_ard(I13,$A$1,100000000)</f>
        <v>0</v>
      </c>
      <c r="Q13" s="52" t="s">
        <v>498</v>
      </c>
      <c r="R13" s="52" t="s">
        <v>543</v>
      </c>
      <c r="S13" s="53">
        <v>8.6042000000000005</v>
      </c>
      <c r="T13" s="3">
        <f>[1]!s_val_mv_ard(Q13,$A$1,100000000)</f>
        <v>171.16473894999999</v>
      </c>
    </row>
    <row r="14" spans="1:20" x14ac:dyDescent="0.4">
      <c r="E14" s="52" t="s">
        <v>551</v>
      </c>
      <c r="F14" s="52" t="s">
        <v>552</v>
      </c>
      <c r="G14" s="53">
        <v>5.0773000000000001</v>
      </c>
      <c r="H14" s="3">
        <f>[1]!s_val_mv_ard(E14,$A$1,100000000)</f>
        <v>77.88938473799999</v>
      </c>
      <c r="L14" s="3">
        <f>[1]!s_val_mv_ard(I14,$A$1,100000000)</f>
        <v>0</v>
      </c>
      <c r="T14" s="3">
        <f>[1]!s_val_mv_ard(Q14,$A$1,100000000)</f>
        <v>0</v>
      </c>
    </row>
    <row r="15" spans="1:20" x14ac:dyDescent="0.4">
      <c r="E15" s="52" t="s">
        <v>553</v>
      </c>
      <c r="F15" s="52" t="s">
        <v>554</v>
      </c>
      <c r="G15" s="53">
        <v>2.2431000000000001</v>
      </c>
      <c r="H15" s="3">
        <f>[1]!s_val_mv_ard(E15,$A$1,100000000)</f>
        <v>33.894594656999999</v>
      </c>
      <c r="L15" s="3">
        <f>[1]!s_val_mv_ard(I15,$A$1,100000000)</f>
        <v>0</v>
      </c>
      <c r="T15" s="3">
        <f>[1]!s_val_mv_ard(Q15,$A$1,100000000)</f>
        <v>0</v>
      </c>
    </row>
    <row r="16" spans="1:20" x14ac:dyDescent="0.4">
      <c r="E16" s="52" t="s">
        <v>518</v>
      </c>
      <c r="F16" s="52" t="s">
        <v>555</v>
      </c>
      <c r="G16" s="53">
        <v>4.9089999999999998</v>
      </c>
      <c r="H16" s="3">
        <f>[1]!s_val_mv_ard(E16,$A$1,100000000)</f>
        <v>74.976193933200008</v>
      </c>
      <c r="L16" s="3">
        <f>[1]!s_val_mv_ard(I16,$A$1,100000000)</f>
        <v>0</v>
      </c>
      <c r="T16" s="3">
        <f>[1]!s_val_mv_ard(Q16,$A$1,100000000)</f>
        <v>0</v>
      </c>
    </row>
    <row r="17" spans="5:12" x14ac:dyDescent="0.4">
      <c r="E17" s="52" t="s">
        <v>519</v>
      </c>
      <c r="F17" s="52" t="s">
        <v>556</v>
      </c>
      <c r="G17" s="53">
        <v>5.3472999999999997</v>
      </c>
      <c r="H17" s="3">
        <f>[1]!s_val_mv_ard(E17,$A$1,100000000)</f>
        <v>91.595699999999994</v>
      </c>
      <c r="L17" s="3">
        <f>[1]!s_val_mv_ard(I17,$A$1,100000000)</f>
        <v>0</v>
      </c>
    </row>
    <row r="18" spans="5:12" x14ac:dyDescent="0.4">
      <c r="E18" s="52" t="s">
        <v>557</v>
      </c>
      <c r="F18" s="52" t="s">
        <v>558</v>
      </c>
      <c r="G18" s="53">
        <v>1.4642999999999999</v>
      </c>
      <c r="H18" s="3">
        <f>[1]!s_val_mv_ard(E18,$A$1,100000000)</f>
        <v>27.251769599999999</v>
      </c>
      <c r="L18" s="3">
        <f>[1]!s_val_mv_ard(I18,$A$1,100000000)</f>
        <v>0</v>
      </c>
    </row>
    <row r="19" spans="5:12" x14ac:dyDescent="0.4">
      <c r="E19" s="52" t="s">
        <v>520</v>
      </c>
      <c r="F19" s="52" t="s">
        <v>559</v>
      </c>
      <c r="G19" s="53">
        <v>5.4790000000000001</v>
      </c>
      <c r="H19" s="3">
        <f>[1]!s_val_mv_ard(E19,$A$1,100000000)</f>
        <v>122.4685967246</v>
      </c>
      <c r="L19" s="3">
        <f>[1]!s_val_mv_ard(I19,$A$1,100000000)</f>
        <v>0</v>
      </c>
    </row>
    <row r="20" spans="5:12" x14ac:dyDescent="0.4">
      <c r="E20" s="52" t="s">
        <v>521</v>
      </c>
      <c r="F20" s="52" t="s">
        <v>560</v>
      </c>
      <c r="G20" s="53">
        <v>1.6588000000000001</v>
      </c>
      <c r="H20" s="3">
        <f>[1]!s_val_mv_ard(E20,$A$1,100000000)</f>
        <v>81.459140000000005</v>
      </c>
      <c r="L20" s="3">
        <f>[1]!s_val_mv_ard(I20,$A$1,100000000)</f>
        <v>0</v>
      </c>
    </row>
    <row r="21" spans="5:12" x14ac:dyDescent="0.4">
      <c r="E21" s="52" t="s">
        <v>522</v>
      </c>
      <c r="F21" s="52" t="s">
        <v>561</v>
      </c>
      <c r="G21" s="53">
        <v>1.1182000000000001</v>
      </c>
      <c r="H21" s="3">
        <f>[1]!s_val_mv_ard(E21,$A$1,100000000)</f>
        <v>25.971412608000001</v>
      </c>
      <c r="L21" s="3">
        <f>[1]!s_val_mv_ard(I21,$A$1,100000000)</f>
        <v>0</v>
      </c>
    </row>
    <row r="22" spans="5:12" x14ac:dyDescent="0.4">
      <c r="E22" s="52" t="s">
        <v>562</v>
      </c>
      <c r="F22" s="52" t="s">
        <v>563</v>
      </c>
      <c r="G22" s="53">
        <v>1.4034</v>
      </c>
      <c r="H22" s="3">
        <f>[1]!s_val_mv_ard(E22,$A$1,100000000)</f>
        <v>45.153476699999999</v>
      </c>
      <c r="L22" s="3">
        <f>[1]!s_val_mv_ard(I22,$A$1,100000000)</f>
        <v>0</v>
      </c>
    </row>
    <row r="23" spans="5:12" x14ac:dyDescent="0.4">
      <c r="E23" s="52" t="s">
        <v>564</v>
      </c>
      <c r="F23" s="52" t="s">
        <v>565</v>
      </c>
      <c r="G23" s="53">
        <v>0.99470000000000003</v>
      </c>
      <c r="H23" s="3">
        <f>[1]!s_val_mv_ard(E23,$A$1,100000000)</f>
        <v>38.693513778499998</v>
      </c>
      <c r="L23" s="3">
        <f>[1]!s_val_mv_ard(I23,$A$1,100000000)</f>
        <v>0</v>
      </c>
    </row>
    <row r="24" spans="5:12" x14ac:dyDescent="0.4">
      <c r="H24" s="3">
        <f>[1]!s_val_mv_ard(E24,$A$1,100000000)</f>
        <v>0</v>
      </c>
      <c r="L24" s="3">
        <f>[1]!s_val_mv_ard(I24,$A$1,100000000)</f>
        <v>0</v>
      </c>
    </row>
    <row r="25" spans="5:12" x14ac:dyDescent="0.4">
      <c r="H25" s="3">
        <f>[1]!s_val_mv_ard(E25,$A$1,100000000)</f>
        <v>0</v>
      </c>
      <c r="L25" s="3">
        <f>[1]!s_val_mv_ard(I25,$A$1,100000000)</f>
        <v>0</v>
      </c>
    </row>
    <row r="26" spans="5:12" x14ac:dyDescent="0.4">
      <c r="H26" s="3">
        <f>[1]!s_val_mv_ard(E26,$A$1,100000000)</f>
        <v>0</v>
      </c>
      <c r="L26" s="3">
        <f>[1]!s_val_mv_ard(I26,$A$1,100000000)</f>
        <v>0</v>
      </c>
    </row>
    <row r="27" spans="5:12" x14ac:dyDescent="0.4">
      <c r="H27" s="3">
        <f>[1]!s_val_mv_ard(E27,$A$1,100000000)</f>
        <v>0</v>
      </c>
      <c r="L27" s="3">
        <f>[1]!s_val_mv_ard(I27,$A$1,100000000)</f>
        <v>0</v>
      </c>
    </row>
    <row r="28" spans="5:12" x14ac:dyDescent="0.4">
      <c r="H28" s="3">
        <f>[1]!s_val_mv_ard(E28,$A$1,100000000)</f>
        <v>0</v>
      </c>
      <c r="L28" s="3">
        <f>[1]!s_val_mv_ard(I28,$A$1,100000000)</f>
        <v>0</v>
      </c>
    </row>
    <row r="29" spans="5:12" x14ac:dyDescent="0.4">
      <c r="H29" s="3">
        <f>[1]!s_val_mv_ard(E29,$A$1,100000000)</f>
        <v>0</v>
      </c>
      <c r="L29" s="3">
        <f>[1]!s_val_mv_ard(I29,$A$1,100000000)</f>
        <v>0</v>
      </c>
    </row>
    <row r="30" spans="5:12" x14ac:dyDescent="0.4">
      <c r="H30" s="3">
        <f>[1]!s_val_mv_ard(E30,$A$1,100000000)</f>
        <v>0</v>
      </c>
      <c r="L30" s="3">
        <f>[1]!s_val_mv_ard(I30,$A$1,100000000)</f>
        <v>0</v>
      </c>
    </row>
    <row r="31" spans="5:12" x14ac:dyDescent="0.4">
      <c r="H31" s="3">
        <f>[1]!s_val_mv_ard(E31,$A$1,100000000)</f>
        <v>0</v>
      </c>
      <c r="L31" s="3">
        <f>[1]!s_val_mv_ard(I31,$A$1,100000000)</f>
        <v>0</v>
      </c>
    </row>
    <row r="32" spans="5:12" x14ac:dyDescent="0.4">
      <c r="H32" s="3">
        <f>[1]!s_val_mv_ard(E32,$A$1,100000000)</f>
        <v>0</v>
      </c>
      <c r="L32" s="3">
        <f>[1]!s_val_mv_ard(I32,$A$1,100000000)</f>
        <v>0</v>
      </c>
    </row>
    <row r="33" spans="8:12" x14ac:dyDescent="0.4">
      <c r="H33" s="3">
        <f>[1]!s_val_mv_ard(E33,$A$1,100000000)</f>
        <v>0</v>
      </c>
      <c r="L33" s="3">
        <f>[1]!s_val_mv_ard(I33,$A$1,100000000)</f>
        <v>0</v>
      </c>
    </row>
    <row r="34" spans="8:12" x14ac:dyDescent="0.4">
      <c r="H34" s="3">
        <f>[1]!s_val_mv_ard(E34,$A$1,100000000)</f>
        <v>0</v>
      </c>
      <c r="L34" s="3">
        <f>[1]!s_val_mv_ard(I34,$A$1,100000000)</f>
        <v>0</v>
      </c>
    </row>
    <row r="35" spans="8:12" x14ac:dyDescent="0.4">
      <c r="H35" s="3">
        <f>[1]!s_val_mv_ard(E35,$A$1,100000000)</f>
        <v>0</v>
      </c>
      <c r="L35" s="3">
        <f>[1]!s_val_mv_ard(I35,$A$1,100000000)</f>
        <v>0</v>
      </c>
    </row>
    <row r="36" spans="8:12" x14ac:dyDescent="0.4">
      <c r="H36" s="3">
        <f>[1]!s_val_mv_ard(E36,$A$1,100000000)</f>
        <v>0</v>
      </c>
      <c r="L36" s="3">
        <f>[1]!s_val_mv_ard(I36,$A$1,100000000)</f>
        <v>0</v>
      </c>
    </row>
    <row r="37" spans="8:12" x14ac:dyDescent="0.4">
      <c r="H37" s="3">
        <f>[1]!s_val_mv_ard(E37,$A$1,100000000)</f>
        <v>0</v>
      </c>
      <c r="L37" s="3"/>
    </row>
    <row r="38" spans="8:12" x14ac:dyDescent="0.4">
      <c r="H38" s="3">
        <f>[1]!s_val_mv_ard(E38,$A$1,100000000)</f>
        <v>0</v>
      </c>
      <c r="L38" s="3"/>
    </row>
    <row r="39" spans="8:12" x14ac:dyDescent="0.4">
      <c r="H39" s="3">
        <f>[1]!s_val_mv_ard(E39,$A$1,100000000)</f>
        <v>0</v>
      </c>
      <c r="L39" s="3"/>
    </row>
    <row r="40" spans="8:12" x14ac:dyDescent="0.4">
      <c r="H40" s="3">
        <f>[1]!s_val_mv_ard(E40,$A$1,100000000)</f>
        <v>0</v>
      </c>
      <c r="L40" s="3"/>
    </row>
    <row r="41" spans="8:12" x14ac:dyDescent="0.4">
      <c r="H41" s="3">
        <f>[1]!s_val_mv_ard(E41,$A$1,100000000)</f>
        <v>0</v>
      </c>
      <c r="L41" s="3"/>
    </row>
    <row r="42" spans="8:12" x14ac:dyDescent="0.4">
      <c r="H42" s="3">
        <f>[1]!s_val_mv_ard(E42,$A$1,100000000)</f>
        <v>0</v>
      </c>
      <c r="L42" s="3"/>
    </row>
    <row r="43" spans="8:12" x14ac:dyDescent="0.4">
      <c r="H43" s="3">
        <f>[1]!s_val_mv_ard(E43,$A$1,100000000)</f>
        <v>0</v>
      </c>
      <c r="L43" s="3"/>
    </row>
    <row r="44" spans="8:12" x14ac:dyDescent="0.4">
      <c r="H44" s="3">
        <f>[1]!s_val_mv_ard(E44,$A$1,100000000)</f>
        <v>0</v>
      </c>
      <c r="L44" s="3"/>
    </row>
    <row r="45" spans="8:12" x14ac:dyDescent="0.4">
      <c r="H45" s="3">
        <f>[1]!s_val_mv_ard(E45,$A$1,100000000)</f>
        <v>0</v>
      </c>
      <c r="L45" s="3"/>
    </row>
    <row r="46" spans="8:12" x14ac:dyDescent="0.4">
      <c r="H46" s="3">
        <f>[1]!s_val_mv_ard(E46,$A$1,100000000)</f>
        <v>0</v>
      </c>
      <c r="L46" s="3"/>
    </row>
    <row r="47" spans="8:12" x14ac:dyDescent="0.4">
      <c r="H47" s="3">
        <f>[1]!s_val_mv_ard(E47,$A$1,100000000)</f>
        <v>0</v>
      </c>
      <c r="L47" s="3"/>
    </row>
    <row r="48" spans="8:12" x14ac:dyDescent="0.4">
      <c r="H48" s="3">
        <f>[1]!s_val_mv_ard(E48,$A$1,100000000)</f>
        <v>0</v>
      </c>
      <c r="L48" s="3"/>
    </row>
    <row r="49" spans="8:12" x14ac:dyDescent="0.4">
      <c r="H49" s="3">
        <f>[1]!s_val_mv_ard(E49,$A$1,100000000)</f>
        <v>0</v>
      </c>
      <c r="L49" s="3"/>
    </row>
    <row r="50" spans="8:12" x14ac:dyDescent="0.4">
      <c r="H50" s="3">
        <f>[1]!s_val_mv_ard(E50,$A$1,100000000)</f>
        <v>0</v>
      </c>
      <c r="L50" s="3"/>
    </row>
    <row r="51" spans="8:12" x14ac:dyDescent="0.4">
      <c r="H51" s="3">
        <f>[1]!s_val_mv_ard(E51,$A$1,100000000)</f>
        <v>0</v>
      </c>
      <c r="L51" s="3"/>
    </row>
    <row r="52" spans="8:12" x14ac:dyDescent="0.4">
      <c r="H52" s="3">
        <f>[1]!s_val_mv_ard(E52,$A$1,100000000)</f>
        <v>0</v>
      </c>
      <c r="L52" s="3"/>
    </row>
    <row r="53" spans="8:12" x14ac:dyDescent="0.4">
      <c r="H53" s="3">
        <f>[1]!s_val_mv_ard(E53,$A$1,100000000)</f>
        <v>0</v>
      </c>
      <c r="L53" s="3"/>
    </row>
    <row r="54" spans="8:12" x14ac:dyDescent="0.4">
      <c r="H54" s="3">
        <f>[1]!s_val_mv_ard(E54,$A$1,100000000)</f>
        <v>0</v>
      </c>
      <c r="L54" s="3"/>
    </row>
    <row r="55" spans="8:12" x14ac:dyDescent="0.4">
      <c r="H55" s="3">
        <f>[1]!s_val_mv_ard(E55,$A$1,100000000)</f>
        <v>0</v>
      </c>
      <c r="L55" s="3"/>
    </row>
    <row r="56" spans="8:12" x14ac:dyDescent="0.4">
      <c r="H56" s="3">
        <f>[1]!s_val_mv_ard(E56,$A$1,100000000)</f>
        <v>0</v>
      </c>
      <c r="L56" s="3"/>
    </row>
    <row r="57" spans="8:12" x14ac:dyDescent="0.4">
      <c r="H57" s="3">
        <f>[1]!s_val_mv_ard(E57,$A$1,100000000)</f>
        <v>0</v>
      </c>
      <c r="L57" s="3"/>
    </row>
    <row r="58" spans="8:12" x14ac:dyDescent="0.4">
      <c r="H58" s="3">
        <f>[1]!s_val_mv_ard(E58,$A$1,100000000)</f>
        <v>0</v>
      </c>
      <c r="L58" s="3"/>
    </row>
    <row r="59" spans="8:12" x14ac:dyDescent="0.4">
      <c r="H59" s="3">
        <f>[1]!s_val_mv_ard(E59,$A$1,100000000)</f>
        <v>0</v>
      </c>
      <c r="L59" s="3"/>
    </row>
    <row r="60" spans="8:12" x14ac:dyDescent="0.4">
      <c r="H60" s="3">
        <f>[1]!s_val_mv_ard(E60,$A$1,100000000)</f>
        <v>0</v>
      </c>
      <c r="L60" s="3"/>
    </row>
    <row r="61" spans="8:12" x14ac:dyDescent="0.4">
      <c r="H61" s="3">
        <f>[1]!s_val_mv_ard(E61,$A$1,100000000)</f>
        <v>0</v>
      </c>
      <c r="L61" s="3"/>
    </row>
    <row r="62" spans="8:12" x14ac:dyDescent="0.4">
      <c r="H62" s="3">
        <f>[1]!s_val_mv_ard(E62,$A$1,100000000)</f>
        <v>0</v>
      </c>
      <c r="L62" s="3"/>
    </row>
    <row r="63" spans="8:12" x14ac:dyDescent="0.4">
      <c r="H63" s="3">
        <f>[1]!s_val_mv_ard(E63,$A$1,100000000)</f>
        <v>0</v>
      </c>
      <c r="L63" s="3"/>
    </row>
    <row r="64" spans="8:12" x14ac:dyDescent="0.4">
      <c r="H64" s="3">
        <f>[1]!s_val_mv_ard(E64,$A$1,100000000)</f>
        <v>0</v>
      </c>
      <c r="L64" s="3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12"/>
  <sheetViews>
    <sheetView topLeftCell="A2" zoomScaleNormal="100" workbookViewId="0">
      <selection activeCell="I7" sqref="I7"/>
    </sheetView>
  </sheetViews>
  <sheetFormatPr defaultRowHeight="13.9" x14ac:dyDescent="0.4"/>
  <cols>
    <col min="2" max="3" width="9.796875" style="14" customWidth="1"/>
    <col min="4" max="8" width="11.46484375" style="14" customWidth="1"/>
  </cols>
  <sheetData>
    <row r="1" spans="2:8" ht="16.5" customHeight="1" x14ac:dyDescent="0.4">
      <c r="B1" s="60" t="s">
        <v>49</v>
      </c>
      <c r="C1" s="61"/>
      <c r="D1" s="61"/>
      <c r="E1" s="61"/>
      <c r="F1" s="61"/>
      <c r="G1" s="61"/>
      <c r="H1" s="62"/>
    </row>
    <row r="2" spans="2:8" ht="103.45" customHeight="1" x14ac:dyDescent="0.4">
      <c r="B2" s="72" t="s">
        <v>536</v>
      </c>
      <c r="C2" s="73"/>
      <c r="D2" s="73"/>
      <c r="E2" s="73"/>
      <c r="F2" s="73"/>
      <c r="G2" s="73"/>
      <c r="H2" s="74"/>
    </row>
    <row r="3" spans="2:8" ht="60.7" customHeight="1" x14ac:dyDescent="0.4">
      <c r="B3" s="63" t="e" vm="1">
        <v>#VALUE!</v>
      </c>
      <c r="C3" s="64"/>
      <c r="D3" s="65"/>
      <c r="E3" s="63" t="e" vm="2">
        <v>#VALUE!</v>
      </c>
      <c r="F3" s="64"/>
      <c r="G3" s="64"/>
      <c r="H3" s="65"/>
    </row>
    <row r="4" spans="2:8" ht="60.7" customHeight="1" x14ac:dyDescent="0.4">
      <c r="B4" s="66"/>
      <c r="C4" s="67"/>
      <c r="D4" s="68"/>
      <c r="E4" s="66"/>
      <c r="F4" s="67"/>
      <c r="G4" s="67"/>
      <c r="H4" s="68"/>
    </row>
    <row r="5" spans="2:8" ht="60.7" customHeight="1" x14ac:dyDescent="0.4">
      <c r="B5" s="69"/>
      <c r="C5" s="70"/>
      <c r="D5" s="71"/>
      <c r="E5" s="69"/>
      <c r="F5" s="70"/>
      <c r="G5" s="70"/>
      <c r="H5" s="71"/>
    </row>
    <row r="6" spans="2:8" ht="16.5" customHeight="1" x14ac:dyDescent="0.4">
      <c r="B6" s="26" t="s">
        <v>40</v>
      </c>
      <c r="C6" s="26" t="s">
        <v>41</v>
      </c>
      <c r="D6" s="60" t="s">
        <v>42</v>
      </c>
      <c r="E6" s="61"/>
      <c r="F6" s="61"/>
      <c r="G6" s="61"/>
      <c r="H6" s="62"/>
    </row>
    <row r="7" spans="2:8" ht="22.45" customHeight="1" x14ac:dyDescent="0.4">
      <c r="B7" s="37" t="s">
        <v>4</v>
      </c>
      <c r="C7" s="37" t="s">
        <v>43</v>
      </c>
      <c r="D7" s="58" t="str">
        <f>recommend!B3</f>
        <v>汽车销售及服务Ⅲ</v>
      </c>
      <c r="E7" s="39" t="str">
        <f>recommend!B4</f>
        <v>其他家电</v>
      </c>
      <c r="F7" s="39" t="str">
        <f>recommend!B5</f>
        <v>钨</v>
      </c>
      <c r="G7" s="39" t="str">
        <f>recommend!B6</f>
        <v>新兴金融服务Ⅱ</v>
      </c>
      <c r="H7" s="37" t="str">
        <f>recommend!B7</f>
        <v>锂</v>
      </c>
    </row>
    <row r="8" spans="2:8" ht="22.45" customHeight="1" x14ac:dyDescent="0.4">
      <c r="B8" s="37" t="s">
        <v>39</v>
      </c>
      <c r="C8" s="37" t="s">
        <v>44</v>
      </c>
      <c r="D8" s="39" t="str">
        <f>recommend!B11</f>
        <v>光伏设备</v>
      </c>
      <c r="E8" s="39" t="str">
        <f>recommend!B12</f>
        <v>电子化学品</v>
      </c>
      <c r="F8" s="37" t="str">
        <f>recommend!B13</f>
        <v>锂电化学品</v>
      </c>
      <c r="G8" s="39" t="str">
        <f>recommend!B14</f>
        <v>航天军工</v>
      </c>
      <c r="H8" s="37" t="str">
        <f>recommend!B15</f>
        <v>其他家电</v>
      </c>
    </row>
    <row r="9" spans="2:8" ht="22.45" customHeight="1" x14ac:dyDescent="0.4">
      <c r="B9" s="37" t="s">
        <v>5</v>
      </c>
      <c r="C9" s="37" t="s">
        <v>45</v>
      </c>
      <c r="D9" s="39" t="str">
        <f>recommend!B19</f>
        <v>种植业</v>
      </c>
      <c r="E9" s="37" t="str">
        <f>recommend!B20</f>
        <v>白酒</v>
      </c>
      <c r="F9" s="37" t="str">
        <f>recommend!B21</f>
        <v>配电设备</v>
      </c>
      <c r="G9" s="37" t="str">
        <f>recommend!B22</f>
        <v>非乳饮料</v>
      </c>
      <c r="H9" s="37" t="str">
        <f>recommend!B23</f>
        <v>网络接配及塔设</v>
      </c>
    </row>
    <row r="10" spans="2:8" ht="22.45" customHeight="1" x14ac:dyDescent="0.4">
      <c r="B10" s="47" t="s">
        <v>6</v>
      </c>
      <c r="C10" s="47" t="s">
        <v>46</v>
      </c>
      <c r="D10" s="47" t="str">
        <f>recommend!H3</f>
        <v>林木及加工</v>
      </c>
      <c r="E10" s="47" t="str">
        <f>recommend!H4</f>
        <v>锅炉设备</v>
      </c>
      <c r="F10" s="48" t="str">
        <f>recommend!H5</f>
        <v>公交</v>
      </c>
      <c r="G10" s="48" t="str">
        <f>recommend!H6</f>
        <v>燃料电池</v>
      </c>
      <c r="H10" s="47" t="str">
        <f>recommend!H7</f>
        <v>网络接配及塔设</v>
      </c>
    </row>
    <row r="11" spans="2:8" ht="22.45" customHeight="1" x14ac:dyDescent="0.4">
      <c r="B11" s="32" t="s">
        <v>7</v>
      </c>
      <c r="C11" s="32" t="s">
        <v>47</v>
      </c>
      <c r="D11" s="32" t="str">
        <f>recommend!H11</f>
        <v>安防</v>
      </c>
      <c r="E11" s="32" t="str">
        <f>recommend!H12</f>
        <v>日用化学品</v>
      </c>
      <c r="F11" s="32" t="str">
        <f>recommend!H13</f>
        <v>宠物食品</v>
      </c>
      <c r="G11" s="40" t="str">
        <f>recommend!H14</f>
        <v>客车</v>
      </c>
      <c r="H11" s="32" t="str">
        <f>recommend!H15</f>
        <v>网络接配及塔设</v>
      </c>
    </row>
    <row r="12" spans="2:8" ht="22.45" customHeight="1" x14ac:dyDescent="0.4">
      <c r="B12" s="32" t="s">
        <v>8</v>
      </c>
      <c r="C12" s="32" t="s">
        <v>48</v>
      </c>
      <c r="D12" s="59" t="str">
        <f>recommend!H19</f>
        <v>汽车销售及服务Ⅲ</v>
      </c>
      <c r="E12" s="40" t="str">
        <f>recommend!H20</f>
        <v>陶瓷</v>
      </c>
      <c r="F12" s="32" t="str">
        <f>recommend!H21</f>
        <v>棉纺制品</v>
      </c>
      <c r="G12" s="32" t="str">
        <f>recommend!H22</f>
        <v>印染</v>
      </c>
      <c r="H12" s="32" t="str">
        <f>recommend!H23</f>
        <v>建筑装修Ⅲ</v>
      </c>
    </row>
  </sheetData>
  <mergeCells count="5">
    <mergeCell ref="D6:H6"/>
    <mergeCell ref="B3:D5"/>
    <mergeCell ref="E3:H5"/>
    <mergeCell ref="B1:H1"/>
    <mergeCell ref="B2:H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3"/>
  <sheetViews>
    <sheetView tabSelected="1" workbookViewId="0">
      <selection activeCell="A13" sqref="A13"/>
    </sheetView>
  </sheetViews>
  <sheetFormatPr defaultRowHeight="13.9" x14ac:dyDescent="0.4"/>
  <cols>
    <col min="1" max="1" width="13.1328125" customWidth="1"/>
    <col min="2" max="2" width="12.3984375" customWidth="1"/>
    <col min="3" max="4" width="10.59765625" bestFit="1" customWidth="1"/>
  </cols>
  <sheetData>
    <row r="1" spans="1:5" x14ac:dyDescent="0.4">
      <c r="C1" s="1">
        <v>45961</v>
      </c>
      <c r="D1" s="1">
        <v>45991</v>
      </c>
      <c r="E1" t="s">
        <v>480</v>
      </c>
    </row>
    <row r="2" spans="1:5" x14ac:dyDescent="0.4">
      <c r="A2" t="s">
        <v>323</v>
      </c>
      <c r="B2" t="s">
        <v>86</v>
      </c>
      <c r="C2" s="3">
        <f>[1]!s_west_netprofit_cagr($A2,C$1)</f>
        <v>114.6738</v>
      </c>
      <c r="D2" s="3">
        <f>[1]!s_west_netprofit_cagr($A2,D$1)</f>
        <v>135.77719999999999</v>
      </c>
      <c r="E2" s="57">
        <f t="shared" ref="E2:E65" si="0">D2-C2</f>
        <v>21.103399999999993</v>
      </c>
    </row>
    <row r="3" spans="1:5" x14ac:dyDescent="0.4">
      <c r="A3" t="s">
        <v>291</v>
      </c>
      <c r="B3" t="s">
        <v>292</v>
      </c>
      <c r="C3" s="3">
        <f>[1]!s_west_netprofit_cagr($A3,C$1)</f>
        <v>-82.960700000000003</v>
      </c>
      <c r="D3" s="3">
        <f>[1]!s_west_netprofit_cagr($A3,D$1)</f>
        <v>-65.728200000000001</v>
      </c>
      <c r="E3" s="57">
        <f t="shared" si="0"/>
        <v>17.232500000000002</v>
      </c>
    </row>
    <row r="4" spans="1:5" x14ac:dyDescent="0.4">
      <c r="A4" t="s">
        <v>402</v>
      </c>
      <c r="B4" t="s">
        <v>88</v>
      </c>
      <c r="C4" s="3">
        <f>[1]!s_west_netprofit_cagr($A4,C$1)</f>
        <v>262.70580000000001</v>
      </c>
      <c r="D4" s="3">
        <f>[1]!s_west_netprofit_cagr($A4,D$1)</f>
        <v>277.03590000000003</v>
      </c>
      <c r="E4" s="57">
        <f t="shared" si="0"/>
        <v>14.330100000000016</v>
      </c>
    </row>
    <row r="5" spans="1:5" x14ac:dyDescent="0.4">
      <c r="A5" t="s">
        <v>473</v>
      </c>
      <c r="B5" t="s">
        <v>56</v>
      </c>
      <c r="C5" s="3">
        <f>[1]!s_west_netprofit_cagr($A5,C$1)</f>
        <v>80.740399999999994</v>
      </c>
      <c r="D5" s="3">
        <f>[1]!s_west_netprofit_cagr($A5,D$1)</f>
        <v>93.597499999999997</v>
      </c>
      <c r="E5" s="57">
        <f t="shared" si="0"/>
        <v>12.857100000000003</v>
      </c>
    </row>
    <row r="6" spans="1:5" x14ac:dyDescent="0.4">
      <c r="A6" t="s">
        <v>476</v>
      </c>
      <c r="B6" t="s">
        <v>477</v>
      </c>
      <c r="C6" s="3">
        <f>[1]!s_west_netprofit_cagr($A6,C$1)</f>
        <v>7.3902000000000001</v>
      </c>
      <c r="D6" s="3">
        <f>[1]!s_west_netprofit_cagr($A6,D$1)</f>
        <v>20.120799999999999</v>
      </c>
      <c r="E6" s="57">
        <f t="shared" si="0"/>
        <v>12.730599999999999</v>
      </c>
    </row>
    <row r="7" spans="1:5" x14ac:dyDescent="0.4">
      <c r="A7" t="s">
        <v>220</v>
      </c>
      <c r="B7" t="s">
        <v>221</v>
      </c>
      <c r="C7" s="3">
        <f>[1]!s_west_netprofit_cagr($A7,C$1)</f>
        <v>90.806200000000004</v>
      </c>
      <c r="D7" s="3">
        <f>[1]!s_west_netprofit_cagr($A7,D$1)</f>
        <v>102.0693</v>
      </c>
      <c r="E7" s="57">
        <f t="shared" si="0"/>
        <v>11.263099999999994</v>
      </c>
    </row>
    <row r="8" spans="1:5" x14ac:dyDescent="0.4">
      <c r="A8" t="s">
        <v>199</v>
      </c>
      <c r="B8" t="s">
        <v>82</v>
      </c>
      <c r="C8" s="3">
        <f>[1]!s_west_netprofit_cagr($A8,C$1)</f>
        <v>85.052499999999995</v>
      </c>
      <c r="D8" s="3">
        <f>[1]!s_west_netprofit_cagr($A8,D$1)</f>
        <v>96.097800000000007</v>
      </c>
      <c r="E8" s="57">
        <f t="shared" si="0"/>
        <v>11.045300000000012</v>
      </c>
    </row>
    <row r="9" spans="1:5" x14ac:dyDescent="0.4">
      <c r="A9" t="s">
        <v>273</v>
      </c>
      <c r="B9" t="s">
        <v>35</v>
      </c>
      <c r="C9" s="3">
        <f>[1]!s_west_netprofit_cagr($A9,C$1)</f>
        <v>17.769300000000001</v>
      </c>
      <c r="D9" s="3">
        <f>[1]!s_west_netprofit_cagr($A9,D$1)</f>
        <v>25.92</v>
      </c>
      <c r="E9" s="57">
        <f t="shared" si="0"/>
        <v>8.1507000000000005</v>
      </c>
    </row>
    <row r="10" spans="1:5" x14ac:dyDescent="0.4">
      <c r="A10" t="s">
        <v>167</v>
      </c>
      <c r="B10" t="s">
        <v>168</v>
      </c>
      <c r="C10" s="3">
        <f>[1]!s_west_netprofit_cagr($A10,C$1)</f>
        <v>47.325200000000002</v>
      </c>
      <c r="D10" s="3">
        <f>[1]!s_west_netprofit_cagr($A10,D$1)</f>
        <v>55.241799999999998</v>
      </c>
      <c r="E10" s="57">
        <f t="shared" si="0"/>
        <v>7.9165999999999954</v>
      </c>
    </row>
    <row r="11" spans="1:5" x14ac:dyDescent="0.4">
      <c r="A11" t="s">
        <v>299</v>
      </c>
      <c r="B11" t="s">
        <v>300</v>
      </c>
      <c r="C11" s="3">
        <f>[1]!s_west_netprofit_cagr($A11,C$1)</f>
        <v>21.522500000000001</v>
      </c>
      <c r="D11" s="3">
        <f>[1]!s_west_netprofit_cagr($A11,D$1)</f>
        <v>27.985800000000001</v>
      </c>
      <c r="E11" s="57">
        <f t="shared" si="0"/>
        <v>6.4633000000000003</v>
      </c>
    </row>
    <row r="12" spans="1:5" x14ac:dyDescent="0.4">
      <c r="A12" t="s">
        <v>338</v>
      </c>
      <c r="B12" t="s">
        <v>339</v>
      </c>
      <c r="C12" s="3">
        <f>[1]!s_west_netprofit_cagr($A12,C$1)</f>
        <v>-91.584599999999995</v>
      </c>
      <c r="D12" s="3">
        <f>[1]!s_west_netprofit_cagr($A12,D$1)</f>
        <v>-85.568200000000004</v>
      </c>
      <c r="E12" s="57">
        <f t="shared" si="0"/>
        <v>6.0163999999999902</v>
      </c>
    </row>
    <row r="13" spans="1:5" x14ac:dyDescent="0.4">
      <c r="A13" t="s">
        <v>342</v>
      </c>
      <c r="B13" t="s">
        <v>343</v>
      </c>
      <c r="C13" s="3">
        <f>[1]!s_west_netprofit_cagr($A13,C$1)</f>
        <v>29.388999999999999</v>
      </c>
      <c r="D13" s="3">
        <f>[1]!s_west_netprofit_cagr($A13,D$1)</f>
        <v>34.769100000000002</v>
      </c>
      <c r="E13" s="57">
        <f t="shared" si="0"/>
        <v>5.3801000000000023</v>
      </c>
    </row>
    <row r="14" spans="1:5" x14ac:dyDescent="0.4">
      <c r="A14" t="s">
        <v>287</v>
      </c>
      <c r="B14" t="s">
        <v>288</v>
      </c>
      <c r="C14" s="3">
        <f>[1]!s_west_netprofit_cagr($A14,C$1)</f>
        <v>11.259600000000001</v>
      </c>
      <c r="D14" s="3">
        <f>[1]!s_west_netprofit_cagr($A14,D$1)</f>
        <v>16.2423</v>
      </c>
      <c r="E14" s="57">
        <f t="shared" si="0"/>
        <v>4.9826999999999995</v>
      </c>
    </row>
    <row r="15" spans="1:5" x14ac:dyDescent="0.4">
      <c r="A15" t="s">
        <v>352</v>
      </c>
      <c r="B15" t="s">
        <v>58</v>
      </c>
      <c r="C15" s="3">
        <f>[1]!s_west_netprofit_cagr($A15,C$1)</f>
        <v>56.967599999999997</v>
      </c>
      <c r="D15" s="3">
        <f>[1]!s_west_netprofit_cagr($A15,D$1)</f>
        <v>60.7363</v>
      </c>
      <c r="E15" s="57">
        <f t="shared" si="0"/>
        <v>3.7687000000000026</v>
      </c>
    </row>
    <row r="16" spans="1:5" x14ac:dyDescent="0.4">
      <c r="A16" t="s">
        <v>175</v>
      </c>
      <c r="B16" t="s">
        <v>176</v>
      </c>
      <c r="C16" s="3">
        <f>[1]!s_west_netprofit_cagr($A16,C$1)</f>
        <v>33.751899999999999</v>
      </c>
      <c r="D16" s="3">
        <f>[1]!s_west_netprofit_cagr($A16,D$1)</f>
        <v>36.982900000000001</v>
      </c>
      <c r="E16" s="57">
        <f t="shared" si="0"/>
        <v>3.2310000000000016</v>
      </c>
    </row>
    <row r="17" spans="1:5" x14ac:dyDescent="0.4">
      <c r="A17" t="s">
        <v>388</v>
      </c>
      <c r="B17" t="s">
        <v>389</v>
      </c>
      <c r="C17" s="3">
        <f>[1]!s_west_netprofit_cagr($A17,C$1)</f>
        <v>19.010300000000001</v>
      </c>
      <c r="D17" s="3">
        <f>[1]!s_west_netprofit_cagr($A17,D$1)</f>
        <v>22.220199999999998</v>
      </c>
      <c r="E17" s="57">
        <f t="shared" si="0"/>
        <v>3.2098999999999975</v>
      </c>
    </row>
    <row r="18" spans="1:5" x14ac:dyDescent="0.4">
      <c r="A18" t="s">
        <v>134</v>
      </c>
      <c r="B18" t="s">
        <v>135</v>
      </c>
      <c r="C18" s="3">
        <f>[1]!s_west_netprofit_cagr($A18,C$1)</f>
        <v>52.9512</v>
      </c>
      <c r="D18" s="3">
        <f>[1]!s_west_netprofit_cagr($A18,D$1)</f>
        <v>56.126899999999999</v>
      </c>
      <c r="E18" s="57">
        <f t="shared" si="0"/>
        <v>3.1756999999999991</v>
      </c>
    </row>
    <row r="19" spans="1:5" x14ac:dyDescent="0.4">
      <c r="A19" t="s">
        <v>122</v>
      </c>
      <c r="B19" t="s">
        <v>123</v>
      </c>
      <c r="C19" s="3">
        <f>[1]!s_west_netprofit_cagr($A19,C$1)</f>
        <v>-13.648300000000001</v>
      </c>
      <c r="D19" s="3">
        <f>[1]!s_west_netprofit_cagr($A19,D$1)</f>
        <v>-10.725199999999999</v>
      </c>
      <c r="E19" s="57">
        <f t="shared" si="0"/>
        <v>2.9231000000000016</v>
      </c>
    </row>
    <row r="20" spans="1:5" x14ac:dyDescent="0.4">
      <c r="A20" t="s">
        <v>455</v>
      </c>
      <c r="B20" t="s">
        <v>456</v>
      </c>
      <c r="C20" s="3">
        <f>[1]!s_west_netprofit_cagr($A20,C$1)</f>
        <v>71.821200000000005</v>
      </c>
      <c r="D20" s="3">
        <f>[1]!s_west_netprofit_cagr($A20,D$1)</f>
        <v>74.738799999999998</v>
      </c>
      <c r="E20" s="57">
        <f t="shared" si="0"/>
        <v>2.9175999999999931</v>
      </c>
    </row>
    <row r="21" spans="1:5" x14ac:dyDescent="0.4">
      <c r="A21" t="s">
        <v>222</v>
      </c>
      <c r="B21" t="s">
        <v>223</v>
      </c>
      <c r="C21" s="3">
        <f>[1]!s_west_netprofit_cagr($A21,C$1)</f>
        <v>30.3764</v>
      </c>
      <c r="D21" s="3">
        <f>[1]!s_west_netprofit_cagr($A21,D$1)</f>
        <v>33.191000000000003</v>
      </c>
      <c r="E21" s="57">
        <f t="shared" si="0"/>
        <v>2.8146000000000022</v>
      </c>
    </row>
    <row r="22" spans="1:5" x14ac:dyDescent="0.4">
      <c r="A22" t="s">
        <v>369</v>
      </c>
      <c r="B22" t="s">
        <v>370</v>
      </c>
      <c r="C22" s="3">
        <f>[1]!s_west_netprofit_cagr($A22,C$1)</f>
        <v>-13.2258</v>
      </c>
      <c r="D22" s="3">
        <f>[1]!s_west_netprofit_cagr($A22,D$1)</f>
        <v>-10.4503</v>
      </c>
      <c r="E22" s="57">
        <f t="shared" si="0"/>
        <v>2.7754999999999992</v>
      </c>
    </row>
    <row r="23" spans="1:5" x14ac:dyDescent="0.4">
      <c r="A23" t="s">
        <v>357</v>
      </c>
      <c r="B23" t="s">
        <v>358</v>
      </c>
      <c r="C23" s="3">
        <f>[1]!s_west_netprofit_cagr($A23,C$1)</f>
        <v>22.607700000000001</v>
      </c>
      <c r="D23" s="3">
        <f>[1]!s_west_netprofit_cagr($A23,D$1)</f>
        <v>24.611999999999998</v>
      </c>
      <c r="E23" s="57">
        <f t="shared" si="0"/>
        <v>2.0042999999999971</v>
      </c>
    </row>
    <row r="24" spans="1:5" x14ac:dyDescent="0.4">
      <c r="A24" t="s">
        <v>414</v>
      </c>
      <c r="B24" t="s">
        <v>415</v>
      </c>
      <c r="C24" s="3">
        <f>[1]!s_west_netprofit_cagr($A24,C$1)</f>
        <v>81.203100000000006</v>
      </c>
      <c r="D24" s="3">
        <f>[1]!s_west_netprofit_cagr($A24,D$1)</f>
        <v>83.169499999999999</v>
      </c>
      <c r="E24" s="57">
        <f t="shared" si="0"/>
        <v>1.966399999999993</v>
      </c>
    </row>
    <row r="25" spans="1:5" x14ac:dyDescent="0.4">
      <c r="A25" t="s">
        <v>409</v>
      </c>
      <c r="B25" t="s">
        <v>73</v>
      </c>
      <c r="C25" s="3">
        <f>[1]!s_west_netprofit_cagr($A25,C$1)</f>
        <v>30.1816</v>
      </c>
      <c r="D25" s="3">
        <f>[1]!s_west_netprofit_cagr($A25,D$1)</f>
        <v>31.850300000000001</v>
      </c>
      <c r="E25" s="57">
        <f t="shared" si="0"/>
        <v>1.6687000000000012</v>
      </c>
    </row>
    <row r="26" spans="1:5" x14ac:dyDescent="0.4">
      <c r="A26" t="s">
        <v>285</v>
      </c>
      <c r="B26" t="s">
        <v>286</v>
      </c>
      <c r="C26" s="3">
        <f>[1]!s_west_netprofit_cagr($A26,C$1)</f>
        <v>23.629100000000001</v>
      </c>
      <c r="D26" s="3">
        <f>[1]!s_west_netprofit_cagr($A26,D$1)</f>
        <v>25.211500000000001</v>
      </c>
      <c r="E26" s="57">
        <f t="shared" si="0"/>
        <v>1.5823999999999998</v>
      </c>
    </row>
    <row r="27" spans="1:5" x14ac:dyDescent="0.4">
      <c r="A27" t="s">
        <v>278</v>
      </c>
      <c r="B27" t="s">
        <v>75</v>
      </c>
      <c r="C27" s="3">
        <f>[1]!s_west_netprofit_cagr($A27,C$1)</f>
        <v>39.686900000000001</v>
      </c>
      <c r="D27" s="3">
        <f>[1]!s_west_netprofit_cagr($A27,D$1)</f>
        <v>41.132100000000001</v>
      </c>
      <c r="E27" s="57">
        <f t="shared" si="0"/>
        <v>1.4451999999999998</v>
      </c>
    </row>
    <row r="28" spans="1:5" x14ac:dyDescent="0.4">
      <c r="A28" t="s">
        <v>315</v>
      </c>
      <c r="B28" t="s">
        <v>316</v>
      </c>
      <c r="C28" s="3">
        <f>[1]!s_west_netprofit_cagr($A28,C$1)</f>
        <v>31.866900000000001</v>
      </c>
      <c r="D28" s="3">
        <f>[1]!s_west_netprofit_cagr($A28,D$1)</f>
        <v>33.0809</v>
      </c>
      <c r="E28" s="57">
        <f t="shared" si="0"/>
        <v>1.2139999999999986</v>
      </c>
    </row>
    <row r="29" spans="1:5" x14ac:dyDescent="0.4">
      <c r="A29" t="s">
        <v>313</v>
      </c>
      <c r="B29" t="s">
        <v>314</v>
      </c>
      <c r="C29" s="3">
        <f>[1]!s_west_netprofit_cagr($A29,C$1)</f>
        <v>33.8142</v>
      </c>
      <c r="D29" s="3">
        <f>[1]!s_west_netprofit_cagr($A29,D$1)</f>
        <v>34.856299999999997</v>
      </c>
      <c r="E29" s="57">
        <f t="shared" si="0"/>
        <v>1.0420999999999978</v>
      </c>
    </row>
    <row r="30" spans="1:5" x14ac:dyDescent="0.4">
      <c r="A30" t="s">
        <v>189</v>
      </c>
      <c r="B30" t="s">
        <v>89</v>
      </c>
      <c r="C30" s="3">
        <f>[1]!s_west_netprofit_cagr($A30,C$1)</f>
        <v>31.055299999999999</v>
      </c>
      <c r="D30" s="3">
        <f>[1]!s_west_netprofit_cagr($A30,D$1)</f>
        <v>31.958200000000001</v>
      </c>
      <c r="E30" s="57">
        <f t="shared" si="0"/>
        <v>0.90290000000000248</v>
      </c>
    </row>
    <row r="31" spans="1:5" x14ac:dyDescent="0.4">
      <c r="A31" t="s">
        <v>420</v>
      </c>
      <c r="B31" t="s">
        <v>421</v>
      </c>
      <c r="C31" s="3">
        <f>[1]!s_west_netprofit_cagr($A31,C$1)</f>
        <v>22.648800000000001</v>
      </c>
      <c r="D31" s="3">
        <f>[1]!s_west_netprofit_cagr($A31,D$1)</f>
        <v>23.533799999999999</v>
      </c>
      <c r="E31" s="57">
        <f t="shared" si="0"/>
        <v>0.88499999999999801</v>
      </c>
    </row>
    <row r="32" spans="1:5" x14ac:dyDescent="0.4">
      <c r="A32" t="s">
        <v>378</v>
      </c>
      <c r="B32" t="s">
        <v>379</v>
      </c>
      <c r="C32" s="3">
        <f>[1]!s_west_netprofit_cagr($A32,C$1)</f>
        <v>25.154399999999999</v>
      </c>
      <c r="D32" s="3">
        <f>[1]!s_west_netprofit_cagr($A32,D$1)</f>
        <v>26.028500000000001</v>
      </c>
      <c r="E32" s="57">
        <f t="shared" si="0"/>
        <v>0.8741000000000021</v>
      </c>
    </row>
    <row r="33" spans="1:5" x14ac:dyDescent="0.4">
      <c r="A33" t="s">
        <v>405</v>
      </c>
      <c r="B33" t="s">
        <v>406</v>
      </c>
      <c r="C33" s="3">
        <f>[1]!s_west_netprofit_cagr($A33,C$1)</f>
        <v>31.967199999999998</v>
      </c>
      <c r="D33" s="3">
        <f>[1]!s_west_netprofit_cagr($A33,D$1)</f>
        <v>32.8399</v>
      </c>
      <c r="E33" s="57">
        <f t="shared" si="0"/>
        <v>0.87270000000000181</v>
      </c>
    </row>
    <row r="34" spans="1:5" x14ac:dyDescent="0.4">
      <c r="A34" t="s">
        <v>359</v>
      </c>
      <c r="B34" t="s">
        <v>360</v>
      </c>
      <c r="C34" s="3">
        <f>[1]!s_west_netprofit_cagr($A34,C$1)</f>
        <v>8.8453999999999997</v>
      </c>
      <c r="D34" s="3">
        <f>[1]!s_west_netprofit_cagr($A34,D$1)</f>
        <v>9.7018000000000004</v>
      </c>
      <c r="E34" s="57">
        <f t="shared" si="0"/>
        <v>0.85640000000000072</v>
      </c>
    </row>
    <row r="35" spans="1:5" x14ac:dyDescent="0.4">
      <c r="A35" t="s">
        <v>464</v>
      </c>
      <c r="B35" t="s">
        <v>465</v>
      </c>
      <c r="C35" s="3">
        <f>[1]!s_west_netprofit_cagr($A35,C$1)</f>
        <v>77.510099999999994</v>
      </c>
      <c r="D35" s="3">
        <f>[1]!s_west_netprofit_cagr($A35,D$1)</f>
        <v>78.31</v>
      </c>
      <c r="E35" s="57">
        <f t="shared" si="0"/>
        <v>0.79990000000000805</v>
      </c>
    </row>
    <row r="36" spans="1:5" x14ac:dyDescent="0.4">
      <c r="A36" t="s">
        <v>258</v>
      </c>
      <c r="B36" t="s">
        <v>74</v>
      </c>
      <c r="C36" s="3">
        <f>[1]!s_west_netprofit_cagr($A36,C$1)</f>
        <v>21.3172</v>
      </c>
      <c r="D36" s="3">
        <f>[1]!s_west_netprofit_cagr($A36,D$1)</f>
        <v>21.974799999999998</v>
      </c>
      <c r="E36" s="57">
        <f t="shared" si="0"/>
        <v>0.65759999999999863</v>
      </c>
    </row>
    <row r="37" spans="1:5" x14ac:dyDescent="0.4">
      <c r="A37" t="s">
        <v>187</v>
      </c>
      <c r="B37" t="s">
        <v>188</v>
      </c>
      <c r="C37" s="3">
        <f>[1]!s_west_netprofit_cagr($A37,C$1)</f>
        <v>53.432400000000001</v>
      </c>
      <c r="D37" s="3">
        <f>[1]!s_west_netprofit_cagr($A37,D$1)</f>
        <v>54.045900000000003</v>
      </c>
      <c r="E37" s="57">
        <f t="shared" si="0"/>
        <v>0.61350000000000193</v>
      </c>
    </row>
    <row r="38" spans="1:5" x14ac:dyDescent="0.4">
      <c r="A38" t="s">
        <v>190</v>
      </c>
      <c r="B38" t="s">
        <v>191</v>
      </c>
      <c r="C38" s="3">
        <f>[1]!s_west_netprofit_cagr($A38,C$1)</f>
        <v>37.331000000000003</v>
      </c>
      <c r="D38" s="3">
        <f>[1]!s_west_netprofit_cagr($A38,D$1)</f>
        <v>37.933</v>
      </c>
      <c r="E38" s="57">
        <f t="shared" si="0"/>
        <v>0.60199999999999676</v>
      </c>
    </row>
    <row r="39" spans="1:5" x14ac:dyDescent="0.4">
      <c r="A39" t="s">
        <v>163</v>
      </c>
      <c r="B39" t="s">
        <v>164</v>
      </c>
      <c r="C39" s="3">
        <f>[1]!s_west_netprofit_cagr($A39,C$1)</f>
        <v>29.762499999999999</v>
      </c>
      <c r="D39" s="3">
        <f>[1]!s_west_netprofit_cagr($A39,D$1)</f>
        <v>30.303799999999999</v>
      </c>
      <c r="E39" s="57">
        <f t="shared" si="0"/>
        <v>0.54129999999999967</v>
      </c>
    </row>
    <row r="40" spans="1:5" x14ac:dyDescent="0.4">
      <c r="A40" t="s">
        <v>256</v>
      </c>
      <c r="B40" t="s">
        <v>257</v>
      </c>
      <c r="C40" s="3">
        <f>[1]!s_west_netprofit_cagr($A40,C$1)</f>
        <v>22.5959</v>
      </c>
      <c r="D40" s="3">
        <f>[1]!s_west_netprofit_cagr($A40,D$1)</f>
        <v>23.107199999999999</v>
      </c>
      <c r="E40" s="57">
        <f t="shared" si="0"/>
        <v>0.51129999999999853</v>
      </c>
    </row>
    <row r="41" spans="1:5" x14ac:dyDescent="0.4">
      <c r="A41" t="s">
        <v>428</v>
      </c>
      <c r="B41" t="s">
        <v>429</v>
      </c>
      <c r="C41" s="3">
        <f>[1]!s_west_netprofit_cagr($A41,C$1)</f>
        <v>8.1328999999999994</v>
      </c>
      <c r="D41" s="3">
        <f>[1]!s_west_netprofit_cagr($A41,D$1)</f>
        <v>8.6412999999999993</v>
      </c>
      <c r="E41" s="57">
        <f t="shared" si="0"/>
        <v>0.50839999999999996</v>
      </c>
    </row>
    <row r="42" spans="1:5" x14ac:dyDescent="0.4">
      <c r="A42" t="s">
        <v>301</v>
      </c>
      <c r="B42" t="s">
        <v>302</v>
      </c>
      <c r="C42" s="3">
        <f>[1]!s_west_netprofit_cagr($A42,C$1)</f>
        <v>15.840400000000001</v>
      </c>
      <c r="D42" s="3">
        <f>[1]!s_west_netprofit_cagr($A42,D$1)</f>
        <v>16.284600000000001</v>
      </c>
      <c r="E42" s="57">
        <f t="shared" si="0"/>
        <v>0.44420000000000037</v>
      </c>
    </row>
    <row r="43" spans="1:5" x14ac:dyDescent="0.4">
      <c r="A43" t="s">
        <v>192</v>
      </c>
      <c r="B43" t="s">
        <v>193</v>
      </c>
      <c r="C43" s="3">
        <f>[1]!s_west_netprofit_cagr($A43,C$1)</f>
        <v>18.744399999999999</v>
      </c>
      <c r="D43" s="3">
        <f>[1]!s_west_netprofit_cagr($A43,D$1)</f>
        <v>19.1722</v>
      </c>
      <c r="E43" s="57">
        <f t="shared" si="0"/>
        <v>0.42780000000000129</v>
      </c>
    </row>
    <row r="44" spans="1:5" x14ac:dyDescent="0.4">
      <c r="A44" t="s">
        <v>183</v>
      </c>
      <c r="B44" t="s">
        <v>184</v>
      </c>
      <c r="C44" s="3">
        <f>[1]!s_west_netprofit_cagr($A44,C$1)</f>
        <v>-5.8871000000000002</v>
      </c>
      <c r="D44" s="3">
        <f>[1]!s_west_netprofit_cagr($A44,D$1)</f>
        <v>-5.5423999999999998</v>
      </c>
      <c r="E44" s="57">
        <f t="shared" si="0"/>
        <v>0.34470000000000045</v>
      </c>
    </row>
    <row r="45" spans="1:5" x14ac:dyDescent="0.4">
      <c r="A45" t="s">
        <v>126</v>
      </c>
      <c r="B45" t="s">
        <v>127</v>
      </c>
      <c r="C45" s="3">
        <f>[1]!s_west_netprofit_cagr($A45,C$1)</f>
        <v>17.114100000000001</v>
      </c>
      <c r="D45" s="3">
        <f>[1]!s_west_netprofit_cagr($A45,D$1)</f>
        <v>17.436699999999998</v>
      </c>
      <c r="E45" s="57">
        <f t="shared" si="0"/>
        <v>0.32259999999999778</v>
      </c>
    </row>
    <row r="46" spans="1:5" x14ac:dyDescent="0.4">
      <c r="A46" t="s">
        <v>386</v>
      </c>
      <c r="B46" t="s">
        <v>387</v>
      </c>
      <c r="C46" s="3">
        <f>[1]!s_west_netprofit_cagr($A46,C$1)</f>
        <v>18.735199999999999</v>
      </c>
      <c r="D46" s="3">
        <f>[1]!s_west_netprofit_cagr($A46,D$1)</f>
        <v>19.0199</v>
      </c>
      <c r="E46" s="57">
        <f t="shared" si="0"/>
        <v>0.28470000000000084</v>
      </c>
    </row>
    <row r="47" spans="1:5" x14ac:dyDescent="0.4">
      <c r="A47" t="s">
        <v>430</v>
      </c>
      <c r="B47" t="s">
        <v>431</v>
      </c>
      <c r="C47" s="3">
        <f>[1]!s_west_netprofit_cagr($A47,C$1)</f>
        <v>21.653600000000001</v>
      </c>
      <c r="D47" s="3">
        <f>[1]!s_west_netprofit_cagr($A47,D$1)</f>
        <v>21.837499999999999</v>
      </c>
      <c r="E47" s="57">
        <f t="shared" si="0"/>
        <v>0.18389999999999773</v>
      </c>
    </row>
    <row r="48" spans="1:5" x14ac:dyDescent="0.4">
      <c r="A48" t="s">
        <v>295</v>
      </c>
      <c r="B48" t="s">
        <v>296</v>
      </c>
      <c r="C48" s="3">
        <f>[1]!s_west_netprofit_cagr($A48,C$1)</f>
        <v>5.5479000000000003</v>
      </c>
      <c r="D48" s="3">
        <f>[1]!s_west_netprofit_cagr($A48,D$1)</f>
        <v>5.7069000000000001</v>
      </c>
      <c r="E48" s="57">
        <f t="shared" si="0"/>
        <v>0.15899999999999981</v>
      </c>
    </row>
    <row r="49" spans="1:5" x14ac:dyDescent="0.4">
      <c r="A49" t="s">
        <v>471</v>
      </c>
      <c r="B49" t="s">
        <v>472</v>
      </c>
      <c r="C49" s="3">
        <f>[1]!s_west_netprofit_cagr($A49,C$1)</f>
        <v>29.772400000000001</v>
      </c>
      <c r="D49" s="3">
        <f>[1]!s_west_netprofit_cagr($A49,D$1)</f>
        <v>29.9055</v>
      </c>
      <c r="E49" s="57">
        <f t="shared" si="0"/>
        <v>0.13309999999999889</v>
      </c>
    </row>
    <row r="50" spans="1:5" x14ac:dyDescent="0.4">
      <c r="A50" t="s">
        <v>155</v>
      </c>
      <c r="B50" t="s">
        <v>156</v>
      </c>
      <c r="C50" s="3">
        <f>[1]!s_west_netprofit_cagr($A50,C$1)</f>
        <v>23.8093</v>
      </c>
      <c r="D50" s="3">
        <f>[1]!s_west_netprofit_cagr($A50,D$1)</f>
        <v>23.938800000000001</v>
      </c>
      <c r="E50" s="57">
        <f t="shared" si="0"/>
        <v>0.12950000000000017</v>
      </c>
    </row>
    <row r="51" spans="1:5" x14ac:dyDescent="0.4">
      <c r="A51" t="s">
        <v>240</v>
      </c>
      <c r="B51" t="s">
        <v>241</v>
      </c>
      <c r="C51" s="3">
        <f>[1]!s_west_netprofit_cagr($A51,C$1)</f>
        <v>23.017099999999999</v>
      </c>
      <c r="D51" s="3">
        <f>[1]!s_west_netprofit_cagr($A51,D$1)</f>
        <v>23.1389</v>
      </c>
      <c r="E51" s="57">
        <f t="shared" si="0"/>
        <v>0.12180000000000035</v>
      </c>
    </row>
    <row r="52" spans="1:5" x14ac:dyDescent="0.4">
      <c r="A52" t="s">
        <v>365</v>
      </c>
      <c r="B52" t="s">
        <v>366</v>
      </c>
      <c r="C52" s="3">
        <f>[1]!s_west_netprofit_cagr($A52,C$1)</f>
        <v>19.232600000000001</v>
      </c>
      <c r="D52" s="3">
        <f>[1]!s_west_netprofit_cagr($A52,D$1)</f>
        <v>19.296299999999999</v>
      </c>
      <c r="E52" s="57">
        <f t="shared" si="0"/>
        <v>6.3699999999997203E-2</v>
      </c>
    </row>
    <row r="53" spans="1:5" x14ac:dyDescent="0.4">
      <c r="A53" t="s">
        <v>132</v>
      </c>
      <c r="B53" t="s">
        <v>133</v>
      </c>
      <c r="C53" s="3">
        <f>[1]!s_west_netprofit_cagr($A53,C$1)</f>
        <v>17.353899999999999</v>
      </c>
      <c r="D53" s="3">
        <f>[1]!s_west_netprofit_cagr($A53,D$1)</f>
        <v>17.413399999999999</v>
      </c>
      <c r="E53" s="57">
        <f t="shared" si="0"/>
        <v>5.9499999999999886E-2</v>
      </c>
    </row>
    <row r="54" spans="1:5" x14ac:dyDescent="0.4">
      <c r="A54" t="s">
        <v>293</v>
      </c>
      <c r="B54" t="s">
        <v>294</v>
      </c>
      <c r="C54" s="3">
        <f>[1]!s_west_netprofit_cagr($A54,C$1)</f>
        <v>9.1186000000000007</v>
      </c>
      <c r="D54" s="3">
        <f>[1]!s_west_netprofit_cagr($A54,D$1)</f>
        <v>9.1671999999999993</v>
      </c>
      <c r="E54" s="57">
        <f t="shared" si="0"/>
        <v>4.8599999999998644E-2</v>
      </c>
    </row>
    <row r="55" spans="1:5" x14ac:dyDescent="0.4">
      <c r="A55" t="s">
        <v>202</v>
      </c>
      <c r="B55" t="s">
        <v>203</v>
      </c>
      <c r="C55" s="3">
        <f>[1]!s_west_netprofit_cagr($A55,C$1)</f>
        <v>12.5722</v>
      </c>
      <c r="D55" s="3">
        <f>[1]!s_west_netprofit_cagr($A55,D$1)</f>
        <v>12.606</v>
      </c>
      <c r="E55" s="57">
        <f t="shared" si="0"/>
        <v>3.3799999999999386E-2</v>
      </c>
    </row>
    <row r="56" spans="1:5" x14ac:dyDescent="0.4">
      <c r="A56" t="s">
        <v>459</v>
      </c>
      <c r="B56" t="s">
        <v>460</v>
      </c>
      <c r="C56" s="3">
        <f>[1]!s_west_netprofit_cagr($A56,C$1)</f>
        <v>18.419799999999999</v>
      </c>
      <c r="D56" s="3">
        <f>[1]!s_west_netprofit_cagr($A56,D$1)</f>
        <v>18.437999999999999</v>
      </c>
      <c r="E56" s="57">
        <f t="shared" si="0"/>
        <v>1.8200000000000216E-2</v>
      </c>
    </row>
    <row r="57" spans="1:5" x14ac:dyDescent="0.4">
      <c r="A57" t="s">
        <v>153</v>
      </c>
      <c r="B57" t="s">
        <v>154</v>
      </c>
      <c r="C57" s="3">
        <f>[1]!s_west_netprofit_cagr($A57,C$1)</f>
        <v>13.959199999999999</v>
      </c>
      <c r="D57" s="3">
        <f>[1]!s_west_netprofit_cagr($A57,D$1)</f>
        <v>13.976699999999999</v>
      </c>
      <c r="E57" s="57">
        <f t="shared" si="0"/>
        <v>1.7500000000000071E-2</v>
      </c>
    </row>
    <row r="58" spans="1:5" x14ac:dyDescent="0.4">
      <c r="A58" t="s">
        <v>212</v>
      </c>
      <c r="B58" t="s">
        <v>213</v>
      </c>
      <c r="C58" s="3">
        <f>[1]!s_west_netprofit_cagr($A58,C$1)</f>
        <v>24.271999999999998</v>
      </c>
      <c r="D58" s="3">
        <f>[1]!s_west_netprofit_cagr($A58,D$1)</f>
        <v>24.283100000000001</v>
      </c>
      <c r="E58" s="57">
        <f t="shared" si="0"/>
        <v>1.1100000000002552E-2</v>
      </c>
    </row>
    <row r="59" spans="1:5" x14ac:dyDescent="0.4">
      <c r="A59" t="s">
        <v>159</v>
      </c>
      <c r="B59" t="s">
        <v>160</v>
      </c>
      <c r="C59" s="3">
        <f>[1]!s_west_netprofit_cagr($A59,C$1)</f>
        <v>25.213200000000001</v>
      </c>
      <c r="D59" s="3">
        <f>[1]!s_west_netprofit_cagr($A59,D$1)</f>
        <v>25.213200000000001</v>
      </c>
      <c r="E59" s="57">
        <f t="shared" si="0"/>
        <v>0</v>
      </c>
    </row>
    <row r="60" spans="1:5" x14ac:dyDescent="0.4">
      <c r="A60" t="s">
        <v>104</v>
      </c>
      <c r="B60" t="s">
        <v>105</v>
      </c>
      <c r="C60" s="3">
        <f>[1]!s_west_netprofit_cagr($A60,C$1)</f>
        <v>0</v>
      </c>
      <c r="D60" s="3">
        <f>[1]!s_west_netprofit_cagr($A60,D$1)</f>
        <v>0</v>
      </c>
      <c r="E60" s="57">
        <f t="shared" si="0"/>
        <v>0</v>
      </c>
    </row>
    <row r="61" spans="1:5" x14ac:dyDescent="0.4">
      <c r="A61" t="s">
        <v>108</v>
      </c>
      <c r="B61" t="s">
        <v>109</v>
      </c>
      <c r="C61" s="3">
        <f>[1]!s_west_netprofit_cagr($A61,C$1)</f>
        <v>0</v>
      </c>
      <c r="D61" s="3">
        <f>[1]!s_west_netprofit_cagr($A61,D$1)</f>
        <v>0</v>
      </c>
      <c r="E61" s="57">
        <f t="shared" si="0"/>
        <v>0</v>
      </c>
    </row>
    <row r="62" spans="1:5" x14ac:dyDescent="0.4">
      <c r="A62" t="s">
        <v>118</v>
      </c>
      <c r="B62" t="s">
        <v>119</v>
      </c>
      <c r="C62" s="3">
        <f>[1]!s_west_netprofit_cagr($A62,C$1)</f>
        <v>0</v>
      </c>
      <c r="D62" s="3">
        <f>[1]!s_west_netprofit_cagr($A62,D$1)</f>
        <v>0</v>
      </c>
      <c r="E62" s="57">
        <f t="shared" si="0"/>
        <v>0</v>
      </c>
    </row>
    <row r="63" spans="1:5" x14ac:dyDescent="0.4">
      <c r="A63" t="s">
        <v>157</v>
      </c>
      <c r="B63" t="s">
        <v>158</v>
      </c>
      <c r="C63" s="3">
        <f>[1]!s_west_netprofit_cagr($A63,C$1)</f>
        <v>0</v>
      </c>
      <c r="D63" s="3">
        <f>[1]!s_west_netprofit_cagr($A63,D$1)</f>
        <v>0</v>
      </c>
      <c r="E63" s="57">
        <f t="shared" si="0"/>
        <v>0</v>
      </c>
    </row>
    <row r="64" spans="1:5" x14ac:dyDescent="0.4">
      <c r="A64" t="s">
        <v>216</v>
      </c>
      <c r="B64" t="s">
        <v>217</v>
      </c>
      <c r="C64" s="3">
        <f>[1]!s_west_netprofit_cagr($A64,C$1)</f>
        <v>0</v>
      </c>
      <c r="D64" s="3">
        <f>[1]!s_west_netprofit_cagr($A64,D$1)</f>
        <v>0</v>
      </c>
      <c r="E64" s="57">
        <f t="shared" si="0"/>
        <v>0</v>
      </c>
    </row>
    <row r="65" spans="1:5" x14ac:dyDescent="0.4">
      <c r="A65" t="s">
        <v>226</v>
      </c>
      <c r="B65" t="s">
        <v>227</v>
      </c>
      <c r="C65" s="3">
        <f>[1]!s_west_netprofit_cagr($A65,C$1)</f>
        <v>0</v>
      </c>
      <c r="D65" s="3">
        <f>[1]!s_west_netprofit_cagr($A65,D$1)</f>
        <v>0</v>
      </c>
      <c r="E65" s="57">
        <f t="shared" si="0"/>
        <v>0</v>
      </c>
    </row>
    <row r="66" spans="1:5" x14ac:dyDescent="0.4">
      <c r="A66" t="s">
        <v>289</v>
      </c>
      <c r="B66" t="s">
        <v>290</v>
      </c>
      <c r="C66" s="3">
        <f>[1]!s_west_netprofit_cagr($A66,C$1)</f>
        <v>0</v>
      </c>
      <c r="D66" s="3">
        <f>[1]!s_west_netprofit_cagr($A66,D$1)</f>
        <v>0</v>
      </c>
      <c r="E66" s="57">
        <f t="shared" ref="E66:E129" si="1">D66-C66</f>
        <v>0</v>
      </c>
    </row>
    <row r="67" spans="1:5" x14ac:dyDescent="0.4">
      <c r="A67" t="s">
        <v>317</v>
      </c>
      <c r="B67" t="s">
        <v>318</v>
      </c>
      <c r="C67" s="3">
        <f>[1]!s_west_netprofit_cagr($A67,C$1)</f>
        <v>0</v>
      </c>
      <c r="D67" s="3">
        <f>[1]!s_west_netprofit_cagr($A67,D$1)</f>
        <v>0</v>
      </c>
      <c r="E67" s="57">
        <f t="shared" si="1"/>
        <v>0</v>
      </c>
    </row>
    <row r="68" spans="1:5" x14ac:dyDescent="0.4">
      <c r="A68" t="s">
        <v>371</v>
      </c>
      <c r="B68" t="s">
        <v>372</v>
      </c>
      <c r="C68" s="3">
        <f>[1]!s_west_netprofit_cagr($A68,C$1)</f>
        <v>0</v>
      </c>
      <c r="D68" s="3">
        <f>[1]!s_west_netprofit_cagr($A68,D$1)</f>
        <v>0</v>
      </c>
      <c r="E68" s="57">
        <f t="shared" si="1"/>
        <v>0</v>
      </c>
    </row>
    <row r="69" spans="1:5" x14ac:dyDescent="0.4">
      <c r="A69" t="s">
        <v>373</v>
      </c>
      <c r="B69" t="s">
        <v>78</v>
      </c>
      <c r="C69" s="3">
        <f>[1]!s_west_netprofit_cagr($A69,C$1)</f>
        <v>0</v>
      </c>
      <c r="D69" s="3">
        <f>[1]!s_west_netprofit_cagr($A69,D$1)</f>
        <v>0</v>
      </c>
      <c r="E69" s="57">
        <f t="shared" si="1"/>
        <v>0</v>
      </c>
    </row>
    <row r="70" spans="1:5" x14ac:dyDescent="0.4">
      <c r="A70" t="s">
        <v>382</v>
      </c>
      <c r="B70" t="s">
        <v>383</v>
      </c>
      <c r="C70" s="3">
        <f>[1]!s_west_netprofit_cagr($A70,C$1)</f>
        <v>0</v>
      </c>
      <c r="D70" s="3">
        <f>[1]!s_west_netprofit_cagr($A70,D$1)</f>
        <v>0</v>
      </c>
      <c r="E70" s="57">
        <f t="shared" si="1"/>
        <v>0</v>
      </c>
    </row>
    <row r="71" spans="1:5" x14ac:dyDescent="0.4">
      <c r="A71" t="s">
        <v>401</v>
      </c>
      <c r="B71" t="s">
        <v>85</v>
      </c>
      <c r="C71" s="3">
        <f>[1]!s_west_netprofit_cagr($A71,C$1)</f>
        <v>0</v>
      </c>
      <c r="D71" s="3">
        <f>[1]!s_west_netprofit_cagr($A71,D$1)</f>
        <v>0</v>
      </c>
      <c r="E71" s="57">
        <f t="shared" si="1"/>
        <v>0</v>
      </c>
    </row>
    <row r="72" spans="1:5" x14ac:dyDescent="0.4">
      <c r="A72" t="s">
        <v>440</v>
      </c>
      <c r="B72" t="s">
        <v>441</v>
      </c>
      <c r="C72" s="3">
        <f>[1]!s_west_netprofit_cagr($A72,C$1)</f>
        <v>0</v>
      </c>
      <c r="D72" s="3">
        <f>[1]!s_west_netprofit_cagr($A72,D$1)</f>
        <v>0</v>
      </c>
      <c r="E72" s="57">
        <f t="shared" si="1"/>
        <v>0</v>
      </c>
    </row>
    <row r="73" spans="1:5" x14ac:dyDescent="0.4">
      <c r="A73" t="s">
        <v>450</v>
      </c>
      <c r="B73" t="s">
        <v>451</v>
      </c>
      <c r="C73" s="3">
        <f>[1]!s_west_netprofit_cagr($A73,C$1)</f>
        <v>0</v>
      </c>
      <c r="D73" s="3">
        <f>[1]!s_west_netprofit_cagr($A73,D$1)</f>
        <v>0</v>
      </c>
      <c r="E73" s="57">
        <f t="shared" si="1"/>
        <v>0</v>
      </c>
    </row>
    <row r="74" spans="1:5" x14ac:dyDescent="0.4">
      <c r="A74" t="s">
        <v>478</v>
      </c>
      <c r="B74" t="s">
        <v>479</v>
      </c>
      <c r="C74" s="3">
        <f>[1]!s_west_netprofit_cagr($A74,C$1)</f>
        <v>28.871700000000001</v>
      </c>
      <c r="D74" s="3">
        <f>[1]!s_west_netprofit_cagr($A74,D$1)</f>
        <v>28.871700000000001</v>
      </c>
      <c r="E74" s="57">
        <f t="shared" si="1"/>
        <v>0</v>
      </c>
    </row>
    <row r="75" spans="1:5" x14ac:dyDescent="0.4">
      <c r="A75" t="s">
        <v>246</v>
      </c>
      <c r="B75" t="s">
        <v>247</v>
      </c>
      <c r="C75" s="3">
        <f>[1]!s_west_netprofit_cagr($A75,C$1)</f>
        <v>27.9894</v>
      </c>
      <c r="D75" s="3">
        <f>[1]!s_west_netprofit_cagr($A75,D$1)</f>
        <v>27.9894</v>
      </c>
      <c r="E75" s="57">
        <f t="shared" si="1"/>
        <v>0</v>
      </c>
    </row>
    <row r="76" spans="1:5" x14ac:dyDescent="0.4">
      <c r="A76" t="s">
        <v>259</v>
      </c>
      <c r="B76" t="s">
        <v>260</v>
      </c>
      <c r="C76" s="3">
        <f>[1]!s_west_netprofit_cagr($A76,C$1)</f>
        <v>5.9630000000000001</v>
      </c>
      <c r="D76" s="3">
        <f>[1]!s_west_netprofit_cagr($A76,D$1)</f>
        <v>5.9630000000000001</v>
      </c>
      <c r="E76" s="57">
        <f t="shared" si="1"/>
        <v>0</v>
      </c>
    </row>
    <row r="77" spans="1:5" x14ac:dyDescent="0.4">
      <c r="A77" t="s">
        <v>303</v>
      </c>
      <c r="B77" t="s">
        <v>304</v>
      </c>
      <c r="C77" s="3">
        <f>[1]!s_west_netprofit_cagr($A77,C$1)</f>
        <v>14.914199999999999</v>
      </c>
      <c r="D77" s="3">
        <f>[1]!s_west_netprofit_cagr($A77,D$1)</f>
        <v>14.914199999999999</v>
      </c>
      <c r="E77" s="57">
        <f t="shared" si="1"/>
        <v>0</v>
      </c>
    </row>
    <row r="78" spans="1:5" x14ac:dyDescent="0.4">
      <c r="A78" t="s">
        <v>348</v>
      </c>
      <c r="B78" t="s">
        <v>349</v>
      </c>
      <c r="C78" s="3">
        <f>[1]!s_west_netprofit_cagr($A78,C$1)</f>
        <v>0</v>
      </c>
      <c r="D78" s="3">
        <f>[1]!s_west_netprofit_cagr($A78,D$1)</f>
        <v>0</v>
      </c>
      <c r="E78" s="57">
        <f t="shared" si="1"/>
        <v>0</v>
      </c>
    </row>
    <row r="79" spans="1:5" x14ac:dyDescent="0.4">
      <c r="A79" t="s">
        <v>367</v>
      </c>
      <c r="B79" t="s">
        <v>368</v>
      </c>
      <c r="C79" s="3">
        <f>[1]!s_west_netprofit_cagr($A79,C$1)</f>
        <v>0</v>
      </c>
      <c r="D79" s="3">
        <f>[1]!s_west_netprofit_cagr($A79,D$1)</f>
        <v>0</v>
      </c>
      <c r="E79" s="57">
        <f t="shared" si="1"/>
        <v>0</v>
      </c>
    </row>
    <row r="80" spans="1:5" x14ac:dyDescent="0.4">
      <c r="A80" t="s">
        <v>306</v>
      </c>
      <c r="B80" t="s">
        <v>77</v>
      </c>
      <c r="C80" s="3">
        <f>[1]!s_west_netprofit_cagr($A80,C$1)</f>
        <v>34.459600000000002</v>
      </c>
      <c r="D80" s="3">
        <f>[1]!s_west_netprofit_cagr($A80,D$1)</f>
        <v>34.444499999999998</v>
      </c>
      <c r="E80" s="57">
        <f t="shared" si="1"/>
        <v>-1.5100000000003888E-2</v>
      </c>
    </row>
    <row r="81" spans="1:5" x14ac:dyDescent="0.4">
      <c r="A81" t="s">
        <v>340</v>
      </c>
      <c r="B81" t="s">
        <v>341</v>
      </c>
      <c r="C81" s="3">
        <f>[1]!s_west_netprofit_cagr($A81,C$1)</f>
        <v>11.860300000000001</v>
      </c>
      <c r="D81" s="3">
        <f>[1]!s_west_netprofit_cagr($A81,D$1)</f>
        <v>11.838100000000001</v>
      </c>
      <c r="E81" s="57">
        <f t="shared" si="1"/>
        <v>-2.2199999999999775E-2</v>
      </c>
    </row>
    <row r="82" spans="1:5" x14ac:dyDescent="0.4">
      <c r="A82" t="s">
        <v>128</v>
      </c>
      <c r="B82" t="s">
        <v>129</v>
      </c>
      <c r="C82" s="3">
        <f>[1]!s_west_netprofit_cagr($A82,C$1)</f>
        <v>20.1709</v>
      </c>
      <c r="D82" s="3">
        <f>[1]!s_west_netprofit_cagr($A82,D$1)</f>
        <v>20.145700000000001</v>
      </c>
      <c r="E82" s="57">
        <f t="shared" si="1"/>
        <v>-2.5199999999998113E-2</v>
      </c>
    </row>
    <row r="83" spans="1:5" x14ac:dyDescent="0.4">
      <c r="A83" t="s">
        <v>283</v>
      </c>
      <c r="B83" t="s">
        <v>284</v>
      </c>
      <c r="C83" s="3">
        <f>[1]!s_west_netprofit_cagr($A83,C$1)</f>
        <v>7.0959000000000003</v>
      </c>
      <c r="D83" s="3">
        <f>[1]!s_west_netprofit_cagr($A83,D$1)</f>
        <v>7.0587</v>
      </c>
      <c r="E83" s="57">
        <f t="shared" si="1"/>
        <v>-3.7200000000000344E-2</v>
      </c>
    </row>
    <row r="84" spans="1:5" x14ac:dyDescent="0.4">
      <c r="A84" t="s">
        <v>179</v>
      </c>
      <c r="B84" t="s">
        <v>180</v>
      </c>
      <c r="C84" s="3">
        <f>[1]!s_west_netprofit_cagr($A84,C$1)</f>
        <v>74.374200000000002</v>
      </c>
      <c r="D84" s="3">
        <f>[1]!s_west_netprofit_cagr($A84,D$1)</f>
        <v>74.304299999999998</v>
      </c>
      <c r="E84" s="57">
        <f t="shared" si="1"/>
        <v>-6.990000000000407E-2</v>
      </c>
    </row>
    <row r="85" spans="1:5" x14ac:dyDescent="0.4">
      <c r="A85" t="s">
        <v>110</v>
      </c>
      <c r="B85" t="s">
        <v>111</v>
      </c>
      <c r="C85" s="3">
        <f>[1]!s_west_netprofit_cagr($A85,C$1)</f>
        <v>34.109099999999998</v>
      </c>
      <c r="D85" s="3">
        <f>[1]!s_west_netprofit_cagr($A85,D$1)</f>
        <v>34.012999999999998</v>
      </c>
      <c r="E85" s="57">
        <f t="shared" si="1"/>
        <v>-9.6099999999999852E-2</v>
      </c>
    </row>
    <row r="86" spans="1:5" x14ac:dyDescent="0.4">
      <c r="A86" t="s">
        <v>467</v>
      </c>
      <c r="B86" t="s">
        <v>468</v>
      </c>
      <c r="C86" s="3">
        <f>[1]!s_west_netprofit_cagr($A86,C$1)</f>
        <v>5.1689999999999996</v>
      </c>
      <c r="D86" s="3">
        <f>[1]!s_west_netprofit_cagr($A86,D$1)</f>
        <v>5.0625</v>
      </c>
      <c r="E86" s="57">
        <f t="shared" si="1"/>
        <v>-0.10649999999999959</v>
      </c>
    </row>
    <row r="87" spans="1:5" x14ac:dyDescent="0.4">
      <c r="A87" t="s">
        <v>281</v>
      </c>
      <c r="B87" t="s">
        <v>282</v>
      </c>
      <c r="C87" s="3">
        <f>[1]!s_west_netprofit_cagr($A87,C$1)</f>
        <v>0.97030000000000005</v>
      </c>
      <c r="D87" s="3">
        <f>[1]!s_west_netprofit_cagr($A87,D$1)</f>
        <v>0.85670000000000002</v>
      </c>
      <c r="E87" s="57">
        <f t="shared" si="1"/>
        <v>-0.11360000000000003</v>
      </c>
    </row>
    <row r="88" spans="1:5" x14ac:dyDescent="0.4">
      <c r="A88" t="s">
        <v>434</v>
      </c>
      <c r="B88" t="s">
        <v>435</v>
      </c>
      <c r="C88" s="3">
        <f>[1]!s_west_netprofit_cagr($A88,C$1)</f>
        <v>5.3685</v>
      </c>
      <c r="D88" s="3">
        <f>[1]!s_west_netprofit_cagr($A88,D$1)</f>
        <v>5.2518000000000002</v>
      </c>
      <c r="E88" s="57">
        <f t="shared" si="1"/>
        <v>-0.1166999999999998</v>
      </c>
    </row>
    <row r="89" spans="1:5" x14ac:dyDescent="0.4">
      <c r="A89" t="s">
        <v>376</v>
      </c>
      <c r="B89" t="s">
        <v>377</v>
      </c>
      <c r="C89" s="3">
        <f>[1]!s_west_netprofit_cagr($A89,C$1)</f>
        <v>20.728999999999999</v>
      </c>
      <c r="D89" s="3">
        <f>[1]!s_west_netprofit_cagr($A89,D$1)</f>
        <v>20.5947</v>
      </c>
      <c r="E89" s="57">
        <f t="shared" si="1"/>
        <v>-0.13429999999999964</v>
      </c>
    </row>
    <row r="90" spans="1:5" x14ac:dyDescent="0.4">
      <c r="A90" t="s">
        <v>218</v>
      </c>
      <c r="B90" t="s">
        <v>219</v>
      </c>
      <c r="C90" s="3">
        <f>[1]!s_west_netprofit_cagr($A90,C$1)</f>
        <v>12.0906</v>
      </c>
      <c r="D90" s="3">
        <f>[1]!s_west_netprofit_cagr($A90,D$1)</f>
        <v>11.951599999999999</v>
      </c>
      <c r="E90" s="57">
        <f t="shared" si="1"/>
        <v>-0.13900000000000112</v>
      </c>
    </row>
    <row r="91" spans="1:5" x14ac:dyDescent="0.4">
      <c r="A91" t="s">
        <v>279</v>
      </c>
      <c r="B91" t="s">
        <v>280</v>
      </c>
      <c r="C91" s="3">
        <f>[1]!s_west_netprofit_cagr($A91,C$1)</f>
        <v>1.7041999999999999</v>
      </c>
      <c r="D91" s="3">
        <f>[1]!s_west_netprofit_cagr($A91,D$1)</f>
        <v>1.5099</v>
      </c>
      <c r="E91" s="57">
        <f t="shared" si="1"/>
        <v>-0.19429999999999992</v>
      </c>
    </row>
    <row r="92" spans="1:5" x14ac:dyDescent="0.4">
      <c r="A92" t="s">
        <v>248</v>
      </c>
      <c r="B92" t="s">
        <v>249</v>
      </c>
      <c r="C92" s="3">
        <f>[1]!s_west_netprofit_cagr($A92,C$1)</f>
        <v>29.065100000000001</v>
      </c>
      <c r="D92" s="3">
        <f>[1]!s_west_netprofit_cagr($A92,D$1)</f>
        <v>28.851900000000001</v>
      </c>
      <c r="E92" s="57">
        <f t="shared" si="1"/>
        <v>-0.2132000000000005</v>
      </c>
    </row>
    <row r="93" spans="1:5" x14ac:dyDescent="0.4">
      <c r="A93" t="s">
        <v>238</v>
      </c>
      <c r="B93" t="s">
        <v>239</v>
      </c>
      <c r="C93" s="3">
        <f>[1]!s_west_netprofit_cagr($A93,C$1)</f>
        <v>18.504000000000001</v>
      </c>
      <c r="D93" s="3">
        <f>[1]!s_west_netprofit_cagr($A93,D$1)</f>
        <v>18.283100000000001</v>
      </c>
      <c r="E93" s="57">
        <f t="shared" si="1"/>
        <v>-0.22090000000000032</v>
      </c>
    </row>
    <row r="94" spans="1:5" x14ac:dyDescent="0.4">
      <c r="A94" t="s">
        <v>138</v>
      </c>
      <c r="B94" t="s">
        <v>79</v>
      </c>
      <c r="C94" s="3">
        <f>[1]!s_west_netprofit_cagr($A94,C$1)</f>
        <v>34.760300000000001</v>
      </c>
      <c r="D94" s="3">
        <f>[1]!s_west_netprofit_cagr($A94,D$1)</f>
        <v>34.5381</v>
      </c>
      <c r="E94" s="57">
        <f t="shared" si="1"/>
        <v>-0.22220000000000084</v>
      </c>
    </row>
    <row r="95" spans="1:5" x14ac:dyDescent="0.4">
      <c r="A95" t="s">
        <v>269</v>
      </c>
      <c r="B95" t="s">
        <v>270</v>
      </c>
      <c r="C95" s="3">
        <f>[1]!s_west_netprofit_cagr($A95,C$1)</f>
        <v>34.139800000000001</v>
      </c>
      <c r="D95" s="3">
        <f>[1]!s_west_netprofit_cagr($A95,D$1)</f>
        <v>33.9056</v>
      </c>
      <c r="E95" s="57">
        <f t="shared" si="1"/>
        <v>-0.2342000000000013</v>
      </c>
    </row>
    <row r="96" spans="1:5" x14ac:dyDescent="0.4">
      <c r="A96" t="s">
        <v>446</v>
      </c>
      <c r="B96" t="s">
        <v>447</v>
      </c>
      <c r="C96" s="3">
        <f>[1]!s_west_netprofit_cagr($A96,C$1)</f>
        <v>5.12</v>
      </c>
      <c r="D96" s="3">
        <f>[1]!s_west_netprofit_cagr($A96,D$1)</f>
        <v>4.8700999999999999</v>
      </c>
      <c r="E96" s="57">
        <f t="shared" si="1"/>
        <v>-0.24990000000000023</v>
      </c>
    </row>
    <row r="97" spans="1:5" x14ac:dyDescent="0.4">
      <c r="A97" t="s">
        <v>106</v>
      </c>
      <c r="B97" t="s">
        <v>107</v>
      </c>
      <c r="C97" s="3">
        <f>[1]!s_west_netprofit_cagr($A97,C$1)</f>
        <v>8.8508999999999993</v>
      </c>
      <c r="D97" s="3">
        <f>[1]!s_west_netprofit_cagr($A97,D$1)</f>
        <v>8.5801999999999996</v>
      </c>
      <c r="E97" s="57">
        <f t="shared" si="1"/>
        <v>-0.27069999999999972</v>
      </c>
    </row>
    <row r="98" spans="1:5" x14ac:dyDescent="0.4">
      <c r="A98" t="s">
        <v>344</v>
      </c>
      <c r="B98" t="s">
        <v>345</v>
      </c>
      <c r="C98" s="3">
        <f>[1]!s_west_netprofit_cagr($A98,C$1)</f>
        <v>17.727</v>
      </c>
      <c r="D98" s="3">
        <f>[1]!s_west_netprofit_cagr($A98,D$1)</f>
        <v>17.450600000000001</v>
      </c>
      <c r="E98" s="57">
        <f t="shared" si="1"/>
        <v>-0.27639999999999887</v>
      </c>
    </row>
    <row r="99" spans="1:5" x14ac:dyDescent="0.4">
      <c r="A99" t="s">
        <v>448</v>
      </c>
      <c r="B99" t="s">
        <v>449</v>
      </c>
      <c r="C99" s="3">
        <f>[1]!s_west_netprofit_cagr($A99,C$1)</f>
        <v>68.169499999999999</v>
      </c>
      <c r="D99" s="3">
        <f>[1]!s_west_netprofit_cagr($A99,D$1)</f>
        <v>67.890100000000004</v>
      </c>
      <c r="E99" s="57">
        <f t="shared" si="1"/>
        <v>-0.27939999999999543</v>
      </c>
    </row>
    <row r="100" spans="1:5" x14ac:dyDescent="0.4">
      <c r="A100" t="s">
        <v>194</v>
      </c>
      <c r="B100" t="s">
        <v>195</v>
      </c>
      <c r="C100" s="3">
        <f>[1]!s_west_netprofit_cagr($A100,C$1)</f>
        <v>14.987399999999999</v>
      </c>
      <c r="D100" s="3">
        <f>[1]!s_west_netprofit_cagr($A100,D$1)</f>
        <v>14.6982</v>
      </c>
      <c r="E100" s="57">
        <f t="shared" si="1"/>
        <v>-0.28919999999999924</v>
      </c>
    </row>
    <row r="101" spans="1:5" x14ac:dyDescent="0.4">
      <c r="A101" t="s">
        <v>139</v>
      </c>
      <c r="B101" t="s">
        <v>140</v>
      </c>
      <c r="C101" s="3">
        <f>[1]!s_west_netprofit_cagr($A101,C$1)</f>
        <v>19.1891</v>
      </c>
      <c r="D101" s="3">
        <f>[1]!s_west_netprofit_cagr($A101,D$1)</f>
        <v>18.893599999999999</v>
      </c>
      <c r="E101" s="57">
        <f t="shared" si="1"/>
        <v>-0.29550000000000054</v>
      </c>
    </row>
    <row r="102" spans="1:5" x14ac:dyDescent="0.4">
      <c r="A102" t="s">
        <v>272</v>
      </c>
      <c r="B102" t="s">
        <v>55</v>
      </c>
      <c r="C102" s="3">
        <f>[1]!s_west_netprofit_cagr($A102,C$1)</f>
        <v>12.456200000000001</v>
      </c>
      <c r="D102" s="3">
        <f>[1]!s_west_netprofit_cagr($A102,D$1)</f>
        <v>12.1464</v>
      </c>
      <c r="E102" s="57">
        <f t="shared" si="1"/>
        <v>-0.30980000000000096</v>
      </c>
    </row>
    <row r="103" spans="1:5" x14ac:dyDescent="0.4">
      <c r="A103" t="s">
        <v>319</v>
      </c>
      <c r="B103" t="s">
        <v>320</v>
      </c>
      <c r="C103" s="3">
        <f>[1]!s_west_netprofit_cagr($A103,C$1)</f>
        <v>17.584199999999999</v>
      </c>
      <c r="D103" s="3">
        <f>[1]!s_west_netprofit_cagr($A103,D$1)</f>
        <v>17.265000000000001</v>
      </c>
      <c r="E103" s="57">
        <f t="shared" si="1"/>
        <v>-0.3191999999999986</v>
      </c>
    </row>
    <row r="104" spans="1:5" x14ac:dyDescent="0.4">
      <c r="A104" t="s">
        <v>214</v>
      </c>
      <c r="B104" t="s">
        <v>215</v>
      </c>
      <c r="C104" s="3">
        <f>[1]!s_west_netprofit_cagr($A104,C$1)</f>
        <v>25.224799999999998</v>
      </c>
      <c r="D104" s="3">
        <f>[1]!s_west_netprofit_cagr($A104,D$1)</f>
        <v>24.901800000000001</v>
      </c>
      <c r="E104" s="57">
        <f t="shared" si="1"/>
        <v>-0.32299999999999685</v>
      </c>
    </row>
    <row r="105" spans="1:5" x14ac:dyDescent="0.4">
      <c r="A105" t="s">
        <v>407</v>
      </c>
      <c r="B105" t="s">
        <v>408</v>
      </c>
      <c r="C105" s="3">
        <f>[1]!s_west_netprofit_cagr($A105,C$1)</f>
        <v>43.357700000000001</v>
      </c>
      <c r="D105" s="3">
        <f>[1]!s_west_netprofit_cagr($A105,D$1)</f>
        <v>43.017200000000003</v>
      </c>
      <c r="E105" s="57">
        <f t="shared" si="1"/>
        <v>-0.34049999999999869</v>
      </c>
    </row>
    <row r="106" spans="1:5" x14ac:dyDescent="0.4">
      <c r="A106" t="s">
        <v>453</v>
      </c>
      <c r="B106" t="s">
        <v>454</v>
      </c>
      <c r="C106" s="3">
        <f>[1]!s_west_netprofit_cagr($A106,C$1)</f>
        <v>40.337000000000003</v>
      </c>
      <c r="D106" s="3">
        <f>[1]!s_west_netprofit_cagr($A106,D$1)</f>
        <v>39.996200000000002</v>
      </c>
      <c r="E106" s="57">
        <f t="shared" si="1"/>
        <v>-0.34080000000000155</v>
      </c>
    </row>
    <row r="107" spans="1:5" x14ac:dyDescent="0.4">
      <c r="A107" t="s">
        <v>398</v>
      </c>
      <c r="B107" t="s">
        <v>399</v>
      </c>
      <c r="C107" s="3">
        <f>[1]!s_west_netprofit_cagr($A107,C$1)</f>
        <v>20.841200000000001</v>
      </c>
      <c r="D107" s="3">
        <f>[1]!s_west_netprofit_cagr($A107,D$1)</f>
        <v>20.5002</v>
      </c>
      <c r="E107" s="57">
        <f t="shared" si="1"/>
        <v>-0.34100000000000108</v>
      </c>
    </row>
    <row r="108" spans="1:5" x14ac:dyDescent="0.4">
      <c r="A108" t="s">
        <v>112</v>
      </c>
      <c r="B108" t="s">
        <v>113</v>
      </c>
      <c r="C108" s="3">
        <f>[1]!s_west_netprofit_cagr($A108,C$1)</f>
        <v>25.670100000000001</v>
      </c>
      <c r="D108" s="3">
        <f>[1]!s_west_netprofit_cagr($A108,D$1)</f>
        <v>25.328099999999999</v>
      </c>
      <c r="E108" s="57">
        <f t="shared" si="1"/>
        <v>-0.3420000000000023</v>
      </c>
    </row>
    <row r="109" spans="1:5" x14ac:dyDescent="0.4">
      <c r="A109" t="s">
        <v>244</v>
      </c>
      <c r="B109" t="s">
        <v>245</v>
      </c>
      <c r="C109" s="3">
        <f>[1]!s_west_netprofit_cagr($A109,C$1)</f>
        <v>25.479399999999998</v>
      </c>
      <c r="D109" s="3">
        <f>[1]!s_west_netprofit_cagr($A109,D$1)</f>
        <v>25.111999999999998</v>
      </c>
      <c r="E109" s="57">
        <f t="shared" si="1"/>
        <v>-0.36739999999999995</v>
      </c>
    </row>
    <row r="110" spans="1:5" x14ac:dyDescent="0.4">
      <c r="A110" t="s">
        <v>274</v>
      </c>
      <c r="B110" t="s">
        <v>275</v>
      </c>
      <c r="C110" s="3">
        <f>[1]!s_west_netprofit_cagr($A110,C$1)</f>
        <v>8.9824999999999999</v>
      </c>
      <c r="D110" s="3">
        <f>[1]!s_west_netprofit_cagr($A110,D$1)</f>
        <v>8.6146999999999991</v>
      </c>
      <c r="E110" s="57">
        <f t="shared" si="1"/>
        <v>-0.36780000000000079</v>
      </c>
    </row>
    <row r="111" spans="1:5" x14ac:dyDescent="0.4">
      <c r="A111" t="s">
        <v>196</v>
      </c>
      <c r="B111" t="s">
        <v>84</v>
      </c>
      <c r="C111" s="3">
        <f>[1]!s_west_netprofit_cagr($A111,C$1)</f>
        <v>18.019600000000001</v>
      </c>
      <c r="D111" s="3">
        <f>[1]!s_west_netprofit_cagr($A111,D$1)</f>
        <v>17.602599999999999</v>
      </c>
      <c r="E111" s="57">
        <f t="shared" si="1"/>
        <v>-0.41700000000000159</v>
      </c>
    </row>
    <row r="112" spans="1:5" x14ac:dyDescent="0.4">
      <c r="A112" t="s">
        <v>309</v>
      </c>
      <c r="B112" t="s">
        <v>36</v>
      </c>
      <c r="C112" s="3">
        <f>[1]!s_west_netprofit_cagr($A112,C$1)</f>
        <v>6.8449999999999998</v>
      </c>
      <c r="D112" s="3">
        <f>[1]!s_west_netprofit_cagr($A112,D$1)</f>
        <v>6.4257</v>
      </c>
      <c r="E112" s="57">
        <f t="shared" si="1"/>
        <v>-0.41929999999999978</v>
      </c>
    </row>
    <row r="113" spans="1:5" x14ac:dyDescent="0.4">
      <c r="A113" t="s">
        <v>444</v>
      </c>
      <c r="B113" t="s">
        <v>445</v>
      </c>
      <c r="C113" s="3">
        <f>[1]!s_west_netprofit_cagr($A113,C$1)</f>
        <v>20.0732</v>
      </c>
      <c r="D113" s="3">
        <f>[1]!s_west_netprofit_cagr($A113,D$1)</f>
        <v>19.6524</v>
      </c>
      <c r="E113" s="57">
        <f t="shared" si="1"/>
        <v>-0.42079999999999984</v>
      </c>
    </row>
    <row r="114" spans="1:5" x14ac:dyDescent="0.4">
      <c r="A114" t="s">
        <v>457</v>
      </c>
      <c r="B114" t="s">
        <v>458</v>
      </c>
      <c r="C114" s="3">
        <f>[1]!s_west_netprofit_cagr($A114,C$1)</f>
        <v>25.913699999999999</v>
      </c>
      <c r="D114" s="3">
        <f>[1]!s_west_netprofit_cagr($A114,D$1)</f>
        <v>25.470400000000001</v>
      </c>
      <c r="E114" s="57">
        <f t="shared" si="1"/>
        <v>-0.44329999999999714</v>
      </c>
    </row>
    <row r="115" spans="1:5" x14ac:dyDescent="0.4">
      <c r="A115" t="s">
        <v>228</v>
      </c>
      <c r="B115" t="s">
        <v>229</v>
      </c>
      <c r="C115" s="3">
        <f>[1]!s_west_netprofit_cagr($A115,C$1)</f>
        <v>60.821199999999997</v>
      </c>
      <c r="D115" s="3">
        <f>[1]!s_west_netprofit_cagr($A115,D$1)</f>
        <v>60.363</v>
      </c>
      <c r="E115" s="57">
        <f t="shared" si="1"/>
        <v>-0.45819999999999794</v>
      </c>
    </row>
    <row r="116" spans="1:5" x14ac:dyDescent="0.4">
      <c r="A116" t="s">
        <v>310</v>
      </c>
      <c r="B116" t="s">
        <v>311</v>
      </c>
      <c r="C116" s="3">
        <f>[1]!s_west_netprofit_cagr($A116,C$1)</f>
        <v>-2.1996000000000002</v>
      </c>
      <c r="D116" s="3">
        <f>[1]!s_west_netprofit_cagr($A116,D$1)</f>
        <v>-2.6863000000000001</v>
      </c>
      <c r="E116" s="57">
        <f t="shared" si="1"/>
        <v>-0.48669999999999991</v>
      </c>
    </row>
    <row r="117" spans="1:5" x14ac:dyDescent="0.4">
      <c r="A117" t="s">
        <v>436</v>
      </c>
      <c r="B117" t="s">
        <v>437</v>
      </c>
      <c r="C117" s="3">
        <f>[1]!s_west_netprofit_cagr($A117,C$1)</f>
        <v>18.1219</v>
      </c>
      <c r="D117" s="3">
        <f>[1]!s_west_netprofit_cagr($A117,D$1)</f>
        <v>17.6279</v>
      </c>
      <c r="E117" s="57">
        <f t="shared" si="1"/>
        <v>-0.49399999999999977</v>
      </c>
    </row>
    <row r="118" spans="1:5" x14ac:dyDescent="0.4">
      <c r="A118" t="s">
        <v>394</v>
      </c>
      <c r="B118" t="s">
        <v>395</v>
      </c>
      <c r="C118" s="3">
        <f>[1]!s_west_netprofit_cagr($A118,C$1)</f>
        <v>35.183399999999999</v>
      </c>
      <c r="D118" s="3">
        <f>[1]!s_west_netprofit_cagr($A118,D$1)</f>
        <v>34.6648</v>
      </c>
      <c r="E118" s="57">
        <f t="shared" si="1"/>
        <v>-0.51859999999999928</v>
      </c>
    </row>
    <row r="119" spans="1:5" x14ac:dyDescent="0.4">
      <c r="A119" t="s">
        <v>276</v>
      </c>
      <c r="B119" t="s">
        <v>277</v>
      </c>
      <c r="C119" s="3">
        <f>[1]!s_west_netprofit_cagr($A119,C$1)</f>
        <v>19.885000000000002</v>
      </c>
      <c r="D119" s="3">
        <f>[1]!s_west_netprofit_cagr($A119,D$1)</f>
        <v>19.340299999999999</v>
      </c>
      <c r="E119" s="57">
        <f t="shared" si="1"/>
        <v>-0.5447000000000024</v>
      </c>
    </row>
    <row r="120" spans="1:5" x14ac:dyDescent="0.4">
      <c r="A120" t="s">
        <v>147</v>
      </c>
      <c r="B120" t="s">
        <v>148</v>
      </c>
      <c r="C120" s="3">
        <f>[1]!s_west_netprofit_cagr($A120,C$1)</f>
        <v>5.1978</v>
      </c>
      <c r="D120" s="3">
        <f>[1]!s_west_netprofit_cagr($A120,D$1)</f>
        <v>4.6500000000000004</v>
      </c>
      <c r="E120" s="57">
        <f t="shared" si="1"/>
        <v>-0.54779999999999962</v>
      </c>
    </row>
    <row r="121" spans="1:5" x14ac:dyDescent="0.4">
      <c r="A121" t="s">
        <v>361</v>
      </c>
      <c r="B121" t="s">
        <v>362</v>
      </c>
      <c r="C121" s="3">
        <f>[1]!s_west_netprofit_cagr($A121,C$1)</f>
        <v>19.716799999999999</v>
      </c>
      <c r="D121" s="3">
        <f>[1]!s_west_netprofit_cagr($A121,D$1)</f>
        <v>19.1477</v>
      </c>
      <c r="E121" s="57">
        <f t="shared" si="1"/>
        <v>-0.56909999999999883</v>
      </c>
    </row>
    <row r="122" spans="1:5" x14ac:dyDescent="0.4">
      <c r="A122" t="s">
        <v>384</v>
      </c>
      <c r="B122" t="s">
        <v>385</v>
      </c>
      <c r="C122" s="3">
        <f>[1]!s_west_netprofit_cagr($A122,C$1)</f>
        <v>39.687800000000003</v>
      </c>
      <c r="D122" s="3">
        <f>[1]!s_west_netprofit_cagr($A122,D$1)</f>
        <v>39.113199999999999</v>
      </c>
      <c r="E122" s="57">
        <f t="shared" si="1"/>
        <v>-0.57460000000000377</v>
      </c>
    </row>
    <row r="123" spans="1:5" x14ac:dyDescent="0.4">
      <c r="A123" t="s">
        <v>208</v>
      </c>
      <c r="B123" t="s">
        <v>209</v>
      </c>
      <c r="C123" s="3">
        <f>[1]!s_west_netprofit_cagr($A123,C$1)</f>
        <v>15.459899999999999</v>
      </c>
      <c r="D123" s="3">
        <f>[1]!s_west_netprofit_cagr($A123,D$1)</f>
        <v>14.864000000000001</v>
      </c>
      <c r="E123" s="57">
        <f t="shared" si="1"/>
        <v>-0.59589999999999854</v>
      </c>
    </row>
    <row r="124" spans="1:5" x14ac:dyDescent="0.4">
      <c r="A124" t="s">
        <v>380</v>
      </c>
      <c r="B124" t="s">
        <v>381</v>
      </c>
      <c r="C124" s="3">
        <f>[1]!s_west_netprofit_cagr($A124,C$1)</f>
        <v>22.95</v>
      </c>
      <c r="D124" s="3">
        <f>[1]!s_west_netprofit_cagr($A124,D$1)</f>
        <v>22.3171</v>
      </c>
      <c r="E124" s="57">
        <f t="shared" si="1"/>
        <v>-0.63289999999999935</v>
      </c>
    </row>
    <row r="125" spans="1:5" x14ac:dyDescent="0.4">
      <c r="A125" t="s">
        <v>197</v>
      </c>
      <c r="B125" t="s">
        <v>198</v>
      </c>
      <c r="C125" s="3">
        <f>[1]!s_west_netprofit_cagr($A125,C$1)</f>
        <v>14.8506</v>
      </c>
      <c r="D125" s="3">
        <f>[1]!s_west_netprofit_cagr($A125,D$1)</f>
        <v>14.211499999999999</v>
      </c>
      <c r="E125" s="57">
        <f t="shared" si="1"/>
        <v>-0.63910000000000089</v>
      </c>
    </row>
    <row r="126" spans="1:5" x14ac:dyDescent="0.4">
      <c r="A126" t="s">
        <v>297</v>
      </c>
      <c r="B126" t="s">
        <v>298</v>
      </c>
      <c r="C126" s="3">
        <f>[1]!s_west_netprofit_cagr($A126,C$1)</f>
        <v>1.5951</v>
      </c>
      <c r="D126" s="3">
        <f>[1]!s_west_netprofit_cagr($A126,D$1)</f>
        <v>0.95089999999999997</v>
      </c>
      <c r="E126" s="57">
        <f t="shared" si="1"/>
        <v>-0.64419999999999999</v>
      </c>
    </row>
    <row r="127" spans="1:5" x14ac:dyDescent="0.4">
      <c r="A127" t="s">
        <v>374</v>
      </c>
      <c r="B127" t="s">
        <v>375</v>
      </c>
      <c r="C127" s="3">
        <f>[1]!s_west_netprofit_cagr($A127,C$1)</f>
        <v>53.007199999999997</v>
      </c>
      <c r="D127" s="3">
        <f>[1]!s_west_netprofit_cagr($A127,D$1)</f>
        <v>52.355200000000004</v>
      </c>
      <c r="E127" s="57">
        <f t="shared" si="1"/>
        <v>-0.65199999999999392</v>
      </c>
    </row>
    <row r="128" spans="1:5" x14ac:dyDescent="0.4">
      <c r="A128" t="s">
        <v>416</v>
      </c>
      <c r="B128" t="s">
        <v>417</v>
      </c>
      <c r="C128" s="3">
        <f>[1]!s_west_netprofit_cagr($A128,C$1)</f>
        <v>119.4957</v>
      </c>
      <c r="D128" s="3">
        <f>[1]!s_west_netprofit_cagr($A128,D$1)</f>
        <v>118.7672</v>
      </c>
      <c r="E128" s="57">
        <f t="shared" si="1"/>
        <v>-0.72849999999999682</v>
      </c>
    </row>
    <row r="129" spans="1:5" x14ac:dyDescent="0.4">
      <c r="A129" t="s">
        <v>312</v>
      </c>
      <c r="B129" t="s">
        <v>76</v>
      </c>
      <c r="C129" s="3">
        <f>[1]!s_west_netprofit_cagr($A129,C$1)</f>
        <v>105.5848</v>
      </c>
      <c r="D129" s="3">
        <f>[1]!s_west_netprofit_cagr($A129,D$1)</f>
        <v>104.8344</v>
      </c>
      <c r="E129" s="57">
        <f t="shared" si="1"/>
        <v>-0.75039999999999907</v>
      </c>
    </row>
    <row r="130" spans="1:5" x14ac:dyDescent="0.4">
      <c r="A130" t="s">
        <v>363</v>
      </c>
      <c r="B130" t="s">
        <v>364</v>
      </c>
      <c r="C130" s="3">
        <f>[1]!s_west_netprofit_cagr($A130,C$1)</f>
        <v>50.144399999999997</v>
      </c>
      <c r="D130" s="3">
        <f>[1]!s_west_netprofit_cagr($A130,D$1)</f>
        <v>49.376399999999997</v>
      </c>
      <c r="E130" s="57">
        <f t="shared" ref="E130:E193" si="2">D130-C130</f>
        <v>-0.76800000000000068</v>
      </c>
    </row>
    <row r="131" spans="1:5" x14ac:dyDescent="0.4">
      <c r="A131" t="s">
        <v>143</v>
      </c>
      <c r="B131" t="s">
        <v>144</v>
      </c>
      <c r="C131" s="3">
        <f>[1]!s_west_netprofit_cagr($A131,C$1)</f>
        <v>24.183700000000002</v>
      </c>
      <c r="D131" s="3">
        <f>[1]!s_west_netprofit_cagr($A131,D$1)</f>
        <v>23.398700000000002</v>
      </c>
      <c r="E131" s="57">
        <f t="shared" si="2"/>
        <v>-0.78500000000000014</v>
      </c>
    </row>
    <row r="132" spans="1:5" x14ac:dyDescent="0.4">
      <c r="A132" t="s">
        <v>321</v>
      </c>
      <c r="B132" t="s">
        <v>322</v>
      </c>
      <c r="C132" s="3">
        <f>[1]!s_west_netprofit_cagr($A132,C$1)</f>
        <v>15.098599999999999</v>
      </c>
      <c r="D132" s="3">
        <f>[1]!s_west_netprofit_cagr($A132,D$1)</f>
        <v>14.2943</v>
      </c>
      <c r="E132" s="57">
        <f t="shared" si="2"/>
        <v>-0.80429999999999957</v>
      </c>
    </row>
    <row r="133" spans="1:5" x14ac:dyDescent="0.4">
      <c r="A133" t="s">
        <v>392</v>
      </c>
      <c r="B133" t="s">
        <v>393</v>
      </c>
      <c r="C133" s="3">
        <f>[1]!s_west_netprofit_cagr($A133,C$1)</f>
        <v>29.450500000000002</v>
      </c>
      <c r="D133" s="3">
        <f>[1]!s_west_netprofit_cagr($A133,D$1)</f>
        <v>28.621700000000001</v>
      </c>
      <c r="E133" s="57">
        <f t="shared" si="2"/>
        <v>-0.82880000000000109</v>
      </c>
    </row>
    <row r="134" spans="1:5" x14ac:dyDescent="0.4">
      <c r="A134" t="s">
        <v>102</v>
      </c>
      <c r="B134" t="s">
        <v>103</v>
      </c>
      <c r="C134" s="3">
        <f>[1]!s_west_netprofit_cagr($A134,C$1)</f>
        <v>12.3231</v>
      </c>
      <c r="D134" s="3">
        <f>[1]!s_west_netprofit_cagr($A134,D$1)</f>
        <v>11.469900000000001</v>
      </c>
      <c r="E134" s="57">
        <f t="shared" si="2"/>
        <v>-0.85319999999999929</v>
      </c>
    </row>
    <row r="135" spans="1:5" x14ac:dyDescent="0.4">
      <c r="A135" t="s">
        <v>410</v>
      </c>
      <c r="B135" t="s">
        <v>411</v>
      </c>
      <c r="C135" s="3">
        <f>[1]!s_west_netprofit_cagr($A135,C$1)</f>
        <v>40.9407</v>
      </c>
      <c r="D135" s="3">
        <f>[1]!s_west_netprofit_cagr($A135,D$1)</f>
        <v>40.046700000000001</v>
      </c>
      <c r="E135" s="57">
        <f t="shared" si="2"/>
        <v>-0.89399999999999835</v>
      </c>
    </row>
    <row r="136" spans="1:5" x14ac:dyDescent="0.4">
      <c r="A136" t="s">
        <v>305</v>
      </c>
      <c r="B136" t="s">
        <v>72</v>
      </c>
      <c r="C136" s="3">
        <f>[1]!s_west_netprofit_cagr($A136,C$1)</f>
        <v>27.170100000000001</v>
      </c>
      <c r="D136" s="3">
        <f>[1]!s_west_netprofit_cagr($A136,D$1)</f>
        <v>26.259799999999998</v>
      </c>
      <c r="E136" s="57">
        <f t="shared" si="2"/>
        <v>-0.910300000000003</v>
      </c>
    </row>
    <row r="137" spans="1:5" x14ac:dyDescent="0.4">
      <c r="A137" t="s">
        <v>412</v>
      </c>
      <c r="B137" t="s">
        <v>413</v>
      </c>
      <c r="C137" s="3">
        <f>[1]!s_west_netprofit_cagr($A137,C$1)</f>
        <v>18.878</v>
      </c>
      <c r="D137" s="3">
        <f>[1]!s_west_netprofit_cagr($A137,D$1)</f>
        <v>17.967600000000001</v>
      </c>
      <c r="E137" s="57">
        <f t="shared" si="2"/>
        <v>-0.91039999999999921</v>
      </c>
    </row>
    <row r="138" spans="1:5" x14ac:dyDescent="0.4">
      <c r="A138" t="s">
        <v>418</v>
      </c>
      <c r="B138" t="s">
        <v>419</v>
      </c>
      <c r="C138" s="3">
        <f>[1]!s_west_netprofit_cagr($A138,C$1)</f>
        <v>9.9750999999999994</v>
      </c>
      <c r="D138" s="3">
        <f>[1]!s_west_netprofit_cagr($A138,D$1)</f>
        <v>9.0504999999999995</v>
      </c>
      <c r="E138" s="57">
        <f t="shared" si="2"/>
        <v>-0.92459999999999987</v>
      </c>
    </row>
    <row r="139" spans="1:5" x14ac:dyDescent="0.4">
      <c r="A139" t="s">
        <v>173</v>
      </c>
      <c r="B139" t="s">
        <v>174</v>
      </c>
      <c r="C139" s="3">
        <f>[1]!s_west_netprofit_cagr($A139,C$1)</f>
        <v>100.74469999999999</v>
      </c>
      <c r="D139" s="3">
        <f>[1]!s_west_netprofit_cagr($A139,D$1)</f>
        <v>99.793499999999995</v>
      </c>
      <c r="E139" s="57">
        <f t="shared" si="2"/>
        <v>-0.95120000000000005</v>
      </c>
    </row>
    <row r="140" spans="1:5" x14ac:dyDescent="0.4">
      <c r="A140" t="s">
        <v>145</v>
      </c>
      <c r="B140" t="s">
        <v>146</v>
      </c>
      <c r="C140" s="3">
        <f>[1]!s_west_netprofit_cagr($A140,C$1)</f>
        <v>26.444299999999998</v>
      </c>
      <c r="D140" s="3">
        <f>[1]!s_west_netprofit_cagr($A140,D$1)</f>
        <v>25.458100000000002</v>
      </c>
      <c r="E140" s="57">
        <f t="shared" si="2"/>
        <v>-0.98619999999999663</v>
      </c>
    </row>
    <row r="141" spans="1:5" x14ac:dyDescent="0.4">
      <c r="A141" t="s">
        <v>469</v>
      </c>
      <c r="B141" t="s">
        <v>470</v>
      </c>
      <c r="C141" s="3">
        <f>[1]!s_west_netprofit_cagr($A141,C$1)</f>
        <v>38.397199999999998</v>
      </c>
      <c r="D141" s="3">
        <f>[1]!s_west_netprofit_cagr($A141,D$1)</f>
        <v>37.404800000000002</v>
      </c>
      <c r="E141" s="57">
        <f t="shared" si="2"/>
        <v>-0.9923999999999964</v>
      </c>
    </row>
    <row r="142" spans="1:5" x14ac:dyDescent="0.4">
      <c r="A142" t="s">
        <v>242</v>
      </c>
      <c r="B142" t="s">
        <v>243</v>
      </c>
      <c r="C142" s="3">
        <f>[1]!s_west_netprofit_cagr($A142,C$1)</f>
        <v>19.0596</v>
      </c>
      <c r="D142" s="3">
        <f>[1]!s_west_netprofit_cagr($A142,D$1)</f>
        <v>18.043900000000001</v>
      </c>
      <c r="E142" s="57">
        <f t="shared" si="2"/>
        <v>-1.0156999999999989</v>
      </c>
    </row>
    <row r="143" spans="1:5" x14ac:dyDescent="0.4">
      <c r="A143" t="s">
        <v>206</v>
      </c>
      <c r="B143" t="s">
        <v>207</v>
      </c>
      <c r="C143" s="3">
        <f>[1]!s_west_netprofit_cagr($A143,C$1)</f>
        <v>25.665700000000001</v>
      </c>
      <c r="D143" s="3">
        <f>[1]!s_west_netprofit_cagr($A143,D$1)</f>
        <v>24.551100000000002</v>
      </c>
      <c r="E143" s="57">
        <f t="shared" si="2"/>
        <v>-1.1145999999999994</v>
      </c>
    </row>
    <row r="144" spans="1:5" x14ac:dyDescent="0.4">
      <c r="A144" t="s">
        <v>261</v>
      </c>
      <c r="B144" t="s">
        <v>262</v>
      </c>
      <c r="C144" s="3">
        <f>[1]!s_west_netprofit_cagr($A144,C$1)</f>
        <v>15.391</v>
      </c>
      <c r="D144" s="3">
        <f>[1]!s_west_netprofit_cagr($A144,D$1)</f>
        <v>14.226800000000001</v>
      </c>
      <c r="E144" s="57">
        <f t="shared" si="2"/>
        <v>-1.1641999999999992</v>
      </c>
    </row>
    <row r="145" spans="1:5" x14ac:dyDescent="0.4">
      <c r="A145" t="s">
        <v>336</v>
      </c>
      <c r="B145" t="s">
        <v>337</v>
      </c>
      <c r="C145" s="3">
        <f>[1]!s_west_netprofit_cagr($A145,C$1)</f>
        <v>2.0596000000000001</v>
      </c>
      <c r="D145" s="3">
        <f>[1]!s_west_netprofit_cagr($A145,D$1)</f>
        <v>0.85929999999999995</v>
      </c>
      <c r="E145" s="57">
        <f t="shared" si="2"/>
        <v>-1.2003000000000001</v>
      </c>
    </row>
    <row r="146" spans="1:5" x14ac:dyDescent="0.4">
      <c r="A146" t="s">
        <v>250</v>
      </c>
      <c r="B146" t="s">
        <v>251</v>
      </c>
      <c r="C146" s="3">
        <f>[1]!s_west_netprofit_cagr($A146,C$1)</f>
        <v>9.7757000000000005</v>
      </c>
      <c r="D146" s="3">
        <f>[1]!s_west_netprofit_cagr($A146,D$1)</f>
        <v>8.5510999999999999</v>
      </c>
      <c r="E146" s="57">
        <f t="shared" si="2"/>
        <v>-1.2246000000000006</v>
      </c>
    </row>
    <row r="147" spans="1:5" x14ac:dyDescent="0.4">
      <c r="A147" t="s">
        <v>265</v>
      </c>
      <c r="B147" t="s">
        <v>266</v>
      </c>
      <c r="C147" s="3">
        <f>[1]!s_west_netprofit_cagr($A147,C$1)</f>
        <v>15.3026</v>
      </c>
      <c r="D147" s="3">
        <f>[1]!s_west_netprofit_cagr($A147,D$1)</f>
        <v>14.0723</v>
      </c>
      <c r="E147" s="57">
        <f t="shared" si="2"/>
        <v>-1.2302999999999997</v>
      </c>
    </row>
    <row r="148" spans="1:5" x14ac:dyDescent="0.4">
      <c r="A148" t="s">
        <v>426</v>
      </c>
      <c r="B148" t="s">
        <v>427</v>
      </c>
      <c r="C148" s="3">
        <f>[1]!s_west_netprofit_cagr($A148,C$1)</f>
        <v>10.4735</v>
      </c>
      <c r="D148" s="3">
        <f>[1]!s_west_netprofit_cagr($A148,D$1)</f>
        <v>9.2430000000000003</v>
      </c>
      <c r="E148" s="57">
        <f t="shared" si="2"/>
        <v>-1.2304999999999993</v>
      </c>
    </row>
    <row r="149" spans="1:5" x14ac:dyDescent="0.4">
      <c r="A149" t="s">
        <v>181</v>
      </c>
      <c r="B149" t="s">
        <v>182</v>
      </c>
      <c r="C149" s="3">
        <f>[1]!s_west_netprofit_cagr($A149,C$1)</f>
        <v>0.73829999999999996</v>
      </c>
      <c r="D149" s="3">
        <f>[1]!s_west_netprofit_cagr($A149,D$1)</f>
        <v>-0.49399999999999999</v>
      </c>
      <c r="E149" s="57">
        <f t="shared" si="2"/>
        <v>-1.2323</v>
      </c>
    </row>
    <row r="150" spans="1:5" x14ac:dyDescent="0.4">
      <c r="A150" t="s">
        <v>224</v>
      </c>
      <c r="B150" t="s">
        <v>225</v>
      </c>
      <c r="C150" s="3">
        <f>[1]!s_west_netprofit_cagr($A150,C$1)</f>
        <v>61.000300000000003</v>
      </c>
      <c r="D150" s="3">
        <f>[1]!s_west_netprofit_cagr($A150,D$1)</f>
        <v>59.759399999999999</v>
      </c>
      <c r="E150" s="57">
        <f t="shared" si="2"/>
        <v>-1.2409000000000034</v>
      </c>
    </row>
    <row r="151" spans="1:5" x14ac:dyDescent="0.4">
      <c r="A151" t="s">
        <v>432</v>
      </c>
      <c r="B151" t="s">
        <v>433</v>
      </c>
      <c r="C151" s="3">
        <f>[1]!s_west_netprofit_cagr($A151,C$1)</f>
        <v>10.1937</v>
      </c>
      <c r="D151" s="3">
        <f>[1]!s_west_netprofit_cagr($A151,D$1)</f>
        <v>8.8840000000000003</v>
      </c>
      <c r="E151" s="57">
        <f t="shared" si="2"/>
        <v>-1.3096999999999994</v>
      </c>
    </row>
    <row r="152" spans="1:5" x14ac:dyDescent="0.4">
      <c r="A152" t="s">
        <v>120</v>
      </c>
      <c r="B152" t="s">
        <v>121</v>
      </c>
      <c r="C152" s="3">
        <f>[1]!s_west_netprofit_cagr($A152,C$1)</f>
        <v>14.2049</v>
      </c>
      <c r="D152" s="3">
        <f>[1]!s_west_netprofit_cagr($A152,D$1)</f>
        <v>12.8573</v>
      </c>
      <c r="E152" s="57">
        <f t="shared" si="2"/>
        <v>-1.3475999999999999</v>
      </c>
    </row>
    <row r="153" spans="1:5" x14ac:dyDescent="0.4">
      <c r="A153" t="s">
        <v>396</v>
      </c>
      <c r="B153" t="s">
        <v>397</v>
      </c>
      <c r="C153" s="3">
        <f>[1]!s_west_netprofit_cagr($A153,C$1)</f>
        <v>27.317799999999998</v>
      </c>
      <c r="D153" s="3">
        <f>[1]!s_west_netprofit_cagr($A153,D$1)</f>
        <v>25.963000000000001</v>
      </c>
      <c r="E153" s="57">
        <f t="shared" si="2"/>
        <v>-1.3547999999999973</v>
      </c>
    </row>
    <row r="154" spans="1:5" x14ac:dyDescent="0.4">
      <c r="A154" t="s">
        <v>210</v>
      </c>
      <c r="B154" t="s">
        <v>211</v>
      </c>
      <c r="C154" s="3">
        <f>[1]!s_west_netprofit_cagr($A154,C$1)</f>
        <v>35.594900000000003</v>
      </c>
      <c r="D154" s="3">
        <f>[1]!s_west_netprofit_cagr($A154,D$1)</f>
        <v>34.235500000000002</v>
      </c>
      <c r="E154" s="57">
        <f t="shared" si="2"/>
        <v>-1.3594000000000008</v>
      </c>
    </row>
    <row r="155" spans="1:5" x14ac:dyDescent="0.4">
      <c r="A155" t="s">
        <v>353</v>
      </c>
      <c r="B155" t="s">
        <v>354</v>
      </c>
      <c r="C155" s="3">
        <f>[1]!s_west_netprofit_cagr($A155,C$1)</f>
        <v>38.9724</v>
      </c>
      <c r="D155" s="3">
        <f>[1]!s_west_netprofit_cagr($A155,D$1)</f>
        <v>37.567900000000002</v>
      </c>
      <c r="E155" s="57">
        <f t="shared" si="2"/>
        <v>-1.4044999999999987</v>
      </c>
    </row>
    <row r="156" spans="1:5" x14ac:dyDescent="0.4">
      <c r="A156" t="s">
        <v>442</v>
      </c>
      <c r="B156" t="s">
        <v>443</v>
      </c>
      <c r="C156" s="3">
        <f>[1]!s_west_netprofit_cagr($A156,C$1)</f>
        <v>28.844799999999999</v>
      </c>
      <c r="D156" s="3">
        <f>[1]!s_west_netprofit_cagr($A156,D$1)</f>
        <v>27.413799999999998</v>
      </c>
      <c r="E156" s="57">
        <f t="shared" si="2"/>
        <v>-1.4310000000000009</v>
      </c>
    </row>
    <row r="157" spans="1:5" x14ac:dyDescent="0.4">
      <c r="A157" t="s">
        <v>355</v>
      </c>
      <c r="B157" t="s">
        <v>356</v>
      </c>
      <c r="C157" s="3">
        <f>[1]!s_west_netprofit_cagr($A157,C$1)</f>
        <v>13.927099999999999</v>
      </c>
      <c r="D157" s="3">
        <f>[1]!s_west_netprofit_cagr($A157,D$1)</f>
        <v>12.480700000000001</v>
      </c>
      <c r="E157" s="57">
        <f t="shared" si="2"/>
        <v>-1.4463999999999988</v>
      </c>
    </row>
    <row r="158" spans="1:5" x14ac:dyDescent="0.4">
      <c r="A158" t="s">
        <v>403</v>
      </c>
      <c r="B158" t="s">
        <v>404</v>
      </c>
      <c r="C158" s="3">
        <f>[1]!s_west_netprofit_cagr($A158,C$1)</f>
        <v>38.1813</v>
      </c>
      <c r="D158" s="3">
        <f>[1]!s_west_netprofit_cagr($A158,D$1)</f>
        <v>36.713200000000001</v>
      </c>
      <c r="E158" s="57">
        <f t="shared" si="2"/>
        <v>-1.4680999999999997</v>
      </c>
    </row>
    <row r="159" spans="1:5" x14ac:dyDescent="0.4">
      <c r="A159" t="s">
        <v>307</v>
      </c>
      <c r="B159" t="s">
        <v>308</v>
      </c>
      <c r="C159" s="3">
        <f>[1]!s_west_netprofit_cagr($A159,C$1)</f>
        <v>8.8485999999999994</v>
      </c>
      <c r="D159" s="3">
        <f>[1]!s_west_netprofit_cagr($A159,D$1)</f>
        <v>7.2843999999999998</v>
      </c>
      <c r="E159" s="57">
        <f t="shared" si="2"/>
        <v>-1.5641999999999996</v>
      </c>
    </row>
    <row r="160" spans="1:5" x14ac:dyDescent="0.4">
      <c r="A160" t="s">
        <v>267</v>
      </c>
      <c r="B160" t="s">
        <v>268</v>
      </c>
      <c r="C160" s="3">
        <f>[1]!s_west_netprofit_cagr($A160,C$1)</f>
        <v>17.230699999999999</v>
      </c>
      <c r="D160" s="3">
        <f>[1]!s_west_netprofit_cagr($A160,D$1)</f>
        <v>15.493399999999999</v>
      </c>
      <c r="E160" s="57">
        <f t="shared" si="2"/>
        <v>-1.7372999999999994</v>
      </c>
    </row>
    <row r="161" spans="1:5" x14ac:dyDescent="0.4">
      <c r="A161" t="s">
        <v>424</v>
      </c>
      <c r="B161" t="s">
        <v>425</v>
      </c>
      <c r="C161" s="3">
        <f>[1]!s_west_netprofit_cagr($A161,C$1)</f>
        <v>14.355399999999999</v>
      </c>
      <c r="D161" s="3">
        <f>[1]!s_west_netprofit_cagr($A161,D$1)</f>
        <v>12.5533</v>
      </c>
      <c r="E161" s="57">
        <f t="shared" si="2"/>
        <v>-1.8020999999999994</v>
      </c>
    </row>
    <row r="162" spans="1:5" x14ac:dyDescent="0.4">
      <c r="A162" t="s">
        <v>149</v>
      </c>
      <c r="B162" t="s">
        <v>150</v>
      </c>
      <c r="C162" s="3">
        <f>[1]!s_west_netprofit_cagr($A162,C$1)</f>
        <v>11.270899999999999</v>
      </c>
      <c r="D162" s="3">
        <f>[1]!s_west_netprofit_cagr($A162,D$1)</f>
        <v>9.4438999999999993</v>
      </c>
      <c r="E162" s="57">
        <f t="shared" si="2"/>
        <v>-1.827</v>
      </c>
    </row>
    <row r="163" spans="1:5" x14ac:dyDescent="0.4">
      <c r="A163" t="s">
        <v>466</v>
      </c>
      <c r="B163" t="s">
        <v>90</v>
      </c>
      <c r="C163" s="3">
        <f>[1]!s_west_netprofit_cagr($A163,C$1)</f>
        <v>69.911000000000001</v>
      </c>
      <c r="D163" s="3">
        <f>[1]!s_west_netprofit_cagr($A163,D$1)</f>
        <v>68.030500000000004</v>
      </c>
      <c r="E163" s="57">
        <f t="shared" si="2"/>
        <v>-1.8804999999999978</v>
      </c>
    </row>
    <row r="164" spans="1:5" x14ac:dyDescent="0.4">
      <c r="A164" t="s">
        <v>234</v>
      </c>
      <c r="B164" t="s">
        <v>235</v>
      </c>
      <c r="C164" s="3">
        <f>[1]!s_west_netprofit_cagr($A164,C$1)</f>
        <v>51.1021</v>
      </c>
      <c r="D164" s="3">
        <f>[1]!s_west_netprofit_cagr($A164,D$1)</f>
        <v>49.138399999999997</v>
      </c>
      <c r="E164" s="57">
        <f t="shared" si="2"/>
        <v>-1.9637000000000029</v>
      </c>
    </row>
    <row r="165" spans="1:5" x14ac:dyDescent="0.4">
      <c r="A165" t="s">
        <v>130</v>
      </c>
      <c r="B165" t="s">
        <v>131</v>
      </c>
      <c r="C165" s="3">
        <f>[1]!s_west_netprofit_cagr($A165,C$1)</f>
        <v>38.362000000000002</v>
      </c>
      <c r="D165" s="3">
        <f>[1]!s_west_netprofit_cagr($A165,D$1)</f>
        <v>36.344499999999996</v>
      </c>
      <c r="E165" s="57">
        <f t="shared" si="2"/>
        <v>-2.0175000000000054</v>
      </c>
    </row>
    <row r="166" spans="1:5" x14ac:dyDescent="0.4">
      <c r="A166" t="s">
        <v>141</v>
      </c>
      <c r="B166" t="s">
        <v>142</v>
      </c>
      <c r="C166" s="3">
        <f>[1]!s_west_netprofit_cagr($A166,C$1)</f>
        <v>13.5535</v>
      </c>
      <c r="D166" s="3">
        <f>[1]!s_west_netprofit_cagr($A166,D$1)</f>
        <v>11.5283</v>
      </c>
      <c r="E166" s="57">
        <f t="shared" si="2"/>
        <v>-2.0251999999999999</v>
      </c>
    </row>
    <row r="167" spans="1:5" x14ac:dyDescent="0.4">
      <c r="A167" t="s">
        <v>100</v>
      </c>
      <c r="B167" t="s">
        <v>101</v>
      </c>
      <c r="C167" s="3">
        <f>[1]!s_west_netprofit_cagr($A167,C$1)</f>
        <v>27.926600000000001</v>
      </c>
      <c r="D167" s="3">
        <f>[1]!s_west_netprofit_cagr($A167,D$1)</f>
        <v>25.857600000000001</v>
      </c>
      <c r="E167" s="57">
        <f t="shared" si="2"/>
        <v>-2.0689999999999991</v>
      </c>
    </row>
    <row r="168" spans="1:5" x14ac:dyDescent="0.4">
      <c r="A168" t="s">
        <v>271</v>
      </c>
      <c r="B168" t="s">
        <v>34</v>
      </c>
      <c r="C168" s="3">
        <f>[1]!s_west_netprofit_cagr($A168,C$1)</f>
        <v>2.9527000000000001</v>
      </c>
      <c r="D168" s="3">
        <f>[1]!s_west_netprofit_cagr($A168,D$1)</f>
        <v>0.79039999999999999</v>
      </c>
      <c r="E168" s="57">
        <f t="shared" si="2"/>
        <v>-2.1623000000000001</v>
      </c>
    </row>
    <row r="169" spans="1:5" x14ac:dyDescent="0.4">
      <c r="A169" t="s">
        <v>330</v>
      </c>
      <c r="B169" t="s">
        <v>331</v>
      </c>
      <c r="C169" s="3">
        <f>[1]!s_west_netprofit_cagr($A169,C$1)</f>
        <v>24.049399999999999</v>
      </c>
      <c r="D169" s="3">
        <f>[1]!s_west_netprofit_cagr($A169,D$1)</f>
        <v>21.7788</v>
      </c>
      <c r="E169" s="57">
        <f t="shared" si="2"/>
        <v>-2.2705999999999982</v>
      </c>
    </row>
    <row r="170" spans="1:5" x14ac:dyDescent="0.4">
      <c r="A170" t="s">
        <v>114</v>
      </c>
      <c r="B170" t="s">
        <v>115</v>
      </c>
      <c r="C170" s="3">
        <f>[1]!s_west_netprofit_cagr($A170,C$1)</f>
        <v>11.0152</v>
      </c>
      <c r="D170" s="3">
        <f>[1]!s_west_netprofit_cagr($A170,D$1)</f>
        <v>8.7088999999999999</v>
      </c>
      <c r="E170" s="57">
        <f t="shared" si="2"/>
        <v>-2.3063000000000002</v>
      </c>
    </row>
    <row r="171" spans="1:5" x14ac:dyDescent="0.4">
      <c r="A171" t="s">
        <v>171</v>
      </c>
      <c r="B171" t="s">
        <v>172</v>
      </c>
      <c r="C171" s="3">
        <f>[1]!s_west_netprofit_cagr($A171,C$1)</f>
        <v>58.319899999999997</v>
      </c>
      <c r="D171" s="3">
        <f>[1]!s_west_netprofit_cagr($A171,D$1)</f>
        <v>55.993600000000001</v>
      </c>
      <c r="E171" s="57">
        <f t="shared" si="2"/>
        <v>-2.3262999999999963</v>
      </c>
    </row>
    <row r="172" spans="1:5" x14ac:dyDescent="0.4">
      <c r="A172" t="s">
        <v>252</v>
      </c>
      <c r="B172" t="s">
        <v>253</v>
      </c>
      <c r="C172" s="3">
        <f>[1]!s_west_netprofit_cagr($A172,C$1)</f>
        <v>14.758800000000001</v>
      </c>
      <c r="D172" s="3">
        <f>[1]!s_west_netprofit_cagr($A172,D$1)</f>
        <v>12.3756</v>
      </c>
      <c r="E172" s="57">
        <f t="shared" si="2"/>
        <v>-2.3832000000000004</v>
      </c>
    </row>
    <row r="173" spans="1:5" x14ac:dyDescent="0.4">
      <c r="A173" t="s">
        <v>390</v>
      </c>
      <c r="B173" t="s">
        <v>391</v>
      </c>
      <c r="C173" s="3">
        <f>[1]!s_west_netprofit_cagr($A173,C$1)</f>
        <v>21.082100000000001</v>
      </c>
      <c r="D173" s="3">
        <f>[1]!s_west_netprofit_cagr($A173,D$1)</f>
        <v>18.678899999999999</v>
      </c>
      <c r="E173" s="57">
        <f t="shared" si="2"/>
        <v>-2.4032000000000018</v>
      </c>
    </row>
    <row r="174" spans="1:5" x14ac:dyDescent="0.4">
      <c r="A174" t="s">
        <v>185</v>
      </c>
      <c r="B174" t="s">
        <v>186</v>
      </c>
      <c r="C174" s="3">
        <f>[1]!s_west_netprofit_cagr($A174,C$1)</f>
        <v>-11.416499999999999</v>
      </c>
      <c r="D174" s="3">
        <f>[1]!s_west_netprofit_cagr($A174,D$1)</f>
        <v>-13.837999999999999</v>
      </c>
      <c r="E174" s="57">
        <f t="shared" si="2"/>
        <v>-2.4215</v>
      </c>
    </row>
    <row r="175" spans="1:5" x14ac:dyDescent="0.4">
      <c r="A175" t="s">
        <v>334</v>
      </c>
      <c r="B175" t="s">
        <v>335</v>
      </c>
      <c r="C175" s="3">
        <f>[1]!s_west_netprofit_cagr($A175,C$1)</f>
        <v>5.3502999999999998</v>
      </c>
      <c r="D175" s="3">
        <f>[1]!s_west_netprofit_cagr($A175,D$1)</f>
        <v>2.8984999999999999</v>
      </c>
      <c r="E175" s="57">
        <f t="shared" si="2"/>
        <v>-2.4518</v>
      </c>
    </row>
    <row r="176" spans="1:5" x14ac:dyDescent="0.4">
      <c r="A176" t="s">
        <v>400</v>
      </c>
      <c r="B176" t="s">
        <v>87</v>
      </c>
      <c r="C176" s="3">
        <f>[1]!s_west_netprofit_cagr($A176,C$1)</f>
        <v>37.2819</v>
      </c>
      <c r="D176" s="3">
        <f>[1]!s_west_netprofit_cagr($A176,D$1)</f>
        <v>34.617899999999999</v>
      </c>
      <c r="E176" s="57">
        <f t="shared" si="2"/>
        <v>-2.6640000000000015</v>
      </c>
    </row>
    <row r="177" spans="1:5" x14ac:dyDescent="0.4">
      <c r="A177" t="s">
        <v>422</v>
      </c>
      <c r="B177" t="s">
        <v>423</v>
      </c>
      <c r="C177" s="3">
        <f>[1]!s_west_netprofit_cagr($A177,C$1)</f>
        <v>7.2146999999999997</v>
      </c>
      <c r="D177" s="3">
        <f>[1]!s_west_netprofit_cagr($A177,D$1)</f>
        <v>4.4657999999999998</v>
      </c>
      <c r="E177" s="57">
        <f t="shared" si="2"/>
        <v>-2.7488999999999999</v>
      </c>
    </row>
    <row r="178" spans="1:5" x14ac:dyDescent="0.4">
      <c r="A178" t="s">
        <v>165</v>
      </c>
      <c r="B178" t="s">
        <v>166</v>
      </c>
      <c r="C178" s="3">
        <f>[1]!s_west_netprofit_cagr($A178,C$1)</f>
        <v>48.512900000000002</v>
      </c>
      <c r="D178" s="3">
        <f>[1]!s_west_netprofit_cagr($A178,D$1)</f>
        <v>45.6736</v>
      </c>
      <c r="E178" s="57">
        <f t="shared" si="2"/>
        <v>-2.8393000000000015</v>
      </c>
    </row>
    <row r="179" spans="1:5" x14ac:dyDescent="0.4">
      <c r="A179" t="s">
        <v>124</v>
      </c>
      <c r="B179" t="s">
        <v>125</v>
      </c>
      <c r="C179" s="3">
        <f>[1]!s_west_netprofit_cagr($A179,C$1)</f>
        <v>511.04450000000003</v>
      </c>
      <c r="D179" s="3">
        <f>[1]!s_west_netprofit_cagr($A179,D$1)</f>
        <v>507.8211</v>
      </c>
      <c r="E179" s="57">
        <f t="shared" si="2"/>
        <v>-3.2234000000000265</v>
      </c>
    </row>
    <row r="180" spans="1:5" x14ac:dyDescent="0.4">
      <c r="A180" t="s">
        <v>204</v>
      </c>
      <c r="B180" t="s">
        <v>205</v>
      </c>
      <c r="C180" s="3">
        <f>[1]!s_west_netprofit_cagr($A180,C$1)</f>
        <v>31.053100000000001</v>
      </c>
      <c r="D180" s="3">
        <f>[1]!s_west_netprofit_cagr($A180,D$1)</f>
        <v>27.814699999999998</v>
      </c>
      <c r="E180" s="57">
        <f t="shared" si="2"/>
        <v>-3.2384000000000022</v>
      </c>
    </row>
    <row r="181" spans="1:5" x14ac:dyDescent="0.4">
      <c r="A181" t="s">
        <v>452</v>
      </c>
      <c r="B181" t="s">
        <v>83</v>
      </c>
      <c r="C181" s="3">
        <f>[1]!s_west_netprofit_cagr($A181,C$1)</f>
        <v>67.166300000000007</v>
      </c>
      <c r="D181" s="3">
        <f>[1]!s_west_netprofit_cagr($A181,D$1)</f>
        <v>63.879800000000003</v>
      </c>
      <c r="E181" s="57">
        <f t="shared" si="2"/>
        <v>-3.2865000000000038</v>
      </c>
    </row>
    <row r="182" spans="1:5" x14ac:dyDescent="0.4">
      <c r="A182" t="s">
        <v>254</v>
      </c>
      <c r="B182" t="s">
        <v>255</v>
      </c>
      <c r="C182" s="3">
        <f>[1]!s_west_netprofit_cagr($A182,C$1)</f>
        <v>2.7162000000000002</v>
      </c>
      <c r="D182" s="3">
        <f>[1]!s_west_netprofit_cagr($A182,D$1)</f>
        <v>-0.60289999999999999</v>
      </c>
      <c r="E182" s="57">
        <f t="shared" si="2"/>
        <v>-3.3191000000000002</v>
      </c>
    </row>
    <row r="183" spans="1:5" x14ac:dyDescent="0.4">
      <c r="A183" t="s">
        <v>474</v>
      </c>
      <c r="B183" t="s">
        <v>475</v>
      </c>
      <c r="C183" s="3">
        <f>[1]!s_west_netprofit_cagr($A183,C$1)</f>
        <v>44.627299999999998</v>
      </c>
      <c r="D183" s="3">
        <f>[1]!s_west_netprofit_cagr($A183,D$1)</f>
        <v>41.229500000000002</v>
      </c>
      <c r="E183" s="57">
        <f t="shared" si="2"/>
        <v>-3.3977999999999966</v>
      </c>
    </row>
    <row r="184" spans="1:5" x14ac:dyDescent="0.4">
      <c r="A184" t="s">
        <v>438</v>
      </c>
      <c r="B184" t="s">
        <v>439</v>
      </c>
      <c r="C184" s="3">
        <f>[1]!s_west_netprofit_cagr($A184,C$1)</f>
        <v>17.020900000000001</v>
      </c>
      <c r="D184" s="3">
        <f>[1]!s_west_netprofit_cagr($A184,D$1)</f>
        <v>13.4686</v>
      </c>
      <c r="E184" s="57">
        <f t="shared" si="2"/>
        <v>-3.5523000000000007</v>
      </c>
    </row>
    <row r="185" spans="1:5" x14ac:dyDescent="0.4">
      <c r="A185" t="s">
        <v>236</v>
      </c>
      <c r="B185" t="s">
        <v>237</v>
      </c>
      <c r="C185" s="3">
        <f>[1]!s_west_netprofit_cagr($A185,C$1)</f>
        <v>34.142000000000003</v>
      </c>
      <c r="D185" s="3">
        <f>[1]!s_west_netprofit_cagr($A185,D$1)</f>
        <v>30.433399999999999</v>
      </c>
      <c r="E185" s="57">
        <f t="shared" si="2"/>
        <v>-3.7086000000000041</v>
      </c>
    </row>
    <row r="186" spans="1:5" x14ac:dyDescent="0.4">
      <c r="A186" t="s">
        <v>232</v>
      </c>
      <c r="B186" t="s">
        <v>233</v>
      </c>
      <c r="C186" s="3">
        <f>[1]!s_west_netprofit_cagr($A186,C$1)</f>
        <v>144.44370000000001</v>
      </c>
      <c r="D186" s="3">
        <f>[1]!s_west_netprofit_cagr($A186,D$1)</f>
        <v>140.63489999999999</v>
      </c>
      <c r="E186" s="57">
        <f t="shared" si="2"/>
        <v>-3.8088000000000193</v>
      </c>
    </row>
    <row r="187" spans="1:5" x14ac:dyDescent="0.4">
      <c r="A187" t="s">
        <v>332</v>
      </c>
      <c r="B187" t="s">
        <v>333</v>
      </c>
      <c r="C187" s="3">
        <f>[1]!s_west_netprofit_cagr($A187,C$1)</f>
        <v>44.987099999999998</v>
      </c>
      <c r="D187" s="3">
        <f>[1]!s_west_netprofit_cagr($A187,D$1)</f>
        <v>41.088099999999997</v>
      </c>
      <c r="E187" s="57">
        <f t="shared" si="2"/>
        <v>-3.8990000000000009</v>
      </c>
    </row>
    <row r="188" spans="1:5" x14ac:dyDescent="0.4">
      <c r="A188" t="s">
        <v>136</v>
      </c>
      <c r="B188" t="s">
        <v>137</v>
      </c>
      <c r="C188" s="3">
        <f>[1]!s_west_netprofit_cagr($A188,C$1)</f>
        <v>30.523199999999999</v>
      </c>
      <c r="D188" s="3">
        <f>[1]!s_west_netprofit_cagr($A188,D$1)</f>
        <v>26.601199999999999</v>
      </c>
      <c r="E188" s="57">
        <f t="shared" si="2"/>
        <v>-3.9220000000000006</v>
      </c>
    </row>
    <row r="189" spans="1:5" x14ac:dyDescent="0.4">
      <c r="A189" t="s">
        <v>116</v>
      </c>
      <c r="B189" t="s">
        <v>117</v>
      </c>
      <c r="C189" s="3">
        <f>[1]!s_west_netprofit_cagr($A189,C$1)</f>
        <v>18.559200000000001</v>
      </c>
      <c r="D189" s="3">
        <f>[1]!s_west_netprofit_cagr($A189,D$1)</f>
        <v>13.891500000000001</v>
      </c>
      <c r="E189" s="57">
        <f t="shared" si="2"/>
        <v>-4.6677</v>
      </c>
    </row>
    <row r="190" spans="1:5" x14ac:dyDescent="0.4">
      <c r="A190" t="s">
        <v>230</v>
      </c>
      <c r="B190" t="s">
        <v>231</v>
      </c>
      <c r="C190" s="3">
        <f>[1]!s_west_netprofit_cagr($A190,C$1)</f>
        <v>21.252099999999999</v>
      </c>
      <c r="D190" s="3">
        <f>[1]!s_west_netprofit_cagr($A190,D$1)</f>
        <v>16.548300000000001</v>
      </c>
      <c r="E190" s="57">
        <f t="shared" si="2"/>
        <v>-4.7037999999999975</v>
      </c>
    </row>
    <row r="191" spans="1:5" x14ac:dyDescent="0.4">
      <c r="A191" t="s">
        <v>151</v>
      </c>
      <c r="B191" t="s">
        <v>152</v>
      </c>
      <c r="C191" s="3">
        <f>[1]!s_west_netprofit_cagr($A191,C$1)</f>
        <v>68.906300000000002</v>
      </c>
      <c r="D191" s="3">
        <f>[1]!s_west_netprofit_cagr($A191,D$1)</f>
        <v>63.966900000000003</v>
      </c>
      <c r="E191" s="57">
        <f t="shared" si="2"/>
        <v>-4.9393999999999991</v>
      </c>
    </row>
    <row r="192" spans="1:5" x14ac:dyDescent="0.4">
      <c r="A192" t="s">
        <v>462</v>
      </c>
      <c r="B192" t="s">
        <v>463</v>
      </c>
      <c r="C192" s="3">
        <f>[1]!s_west_netprofit_cagr($A192,C$1)</f>
        <v>77.117400000000004</v>
      </c>
      <c r="D192" s="3">
        <f>[1]!s_west_netprofit_cagr($A192,D$1)</f>
        <v>71.519300000000001</v>
      </c>
      <c r="E192" s="57">
        <f t="shared" si="2"/>
        <v>-5.5981000000000023</v>
      </c>
    </row>
    <row r="193" spans="1:5" x14ac:dyDescent="0.4">
      <c r="A193" t="s">
        <v>328</v>
      </c>
      <c r="B193" t="s">
        <v>329</v>
      </c>
      <c r="C193" s="3">
        <f>[1]!s_west_netprofit_cagr($A193,C$1)</f>
        <v>51.808</v>
      </c>
      <c r="D193" s="3">
        <f>[1]!s_west_netprofit_cagr($A193,D$1)</f>
        <v>45.863300000000002</v>
      </c>
      <c r="E193" s="57">
        <f t="shared" si="2"/>
        <v>-5.9446999999999974</v>
      </c>
    </row>
    <row r="194" spans="1:5" x14ac:dyDescent="0.4">
      <c r="A194" t="s">
        <v>324</v>
      </c>
      <c r="B194" t="s">
        <v>325</v>
      </c>
      <c r="C194" s="3">
        <f>[1]!s_west_netprofit_cagr($A194,C$1)</f>
        <v>48.174799999999998</v>
      </c>
      <c r="D194" s="3">
        <f>[1]!s_west_netprofit_cagr($A194,D$1)</f>
        <v>41.581400000000002</v>
      </c>
      <c r="E194" s="57">
        <f t="shared" ref="E194:E203" si="3">D194-C194</f>
        <v>-6.5933999999999955</v>
      </c>
    </row>
    <row r="195" spans="1:5" x14ac:dyDescent="0.4">
      <c r="A195" t="s">
        <v>161</v>
      </c>
      <c r="B195" t="s">
        <v>162</v>
      </c>
      <c r="C195" s="3">
        <f>[1]!s_west_netprofit_cagr($A195,C$1)</f>
        <v>36.863300000000002</v>
      </c>
      <c r="D195" s="3">
        <f>[1]!s_west_netprofit_cagr($A195,D$1)</f>
        <v>28.053000000000001</v>
      </c>
      <c r="E195" s="57">
        <f t="shared" si="3"/>
        <v>-8.8103000000000016</v>
      </c>
    </row>
    <row r="196" spans="1:5" x14ac:dyDescent="0.4">
      <c r="A196" t="s">
        <v>350</v>
      </c>
      <c r="B196" t="s">
        <v>351</v>
      </c>
      <c r="C196" s="3">
        <f>[1]!s_west_netprofit_cagr($A196,C$1)</f>
        <v>32.899299999999997</v>
      </c>
      <c r="D196" s="3">
        <f>[1]!s_west_netprofit_cagr($A196,D$1)</f>
        <v>23.674399999999999</v>
      </c>
      <c r="E196" s="57">
        <f t="shared" si="3"/>
        <v>-9.2248999999999981</v>
      </c>
    </row>
    <row r="197" spans="1:5" x14ac:dyDescent="0.4">
      <c r="A197" t="s">
        <v>200</v>
      </c>
      <c r="B197" t="s">
        <v>201</v>
      </c>
      <c r="C197" s="3">
        <f>[1]!s_west_netprofit_cagr($A197,C$1)</f>
        <v>18.6431</v>
      </c>
      <c r="D197" s="3">
        <f>[1]!s_west_netprofit_cagr($A197,D$1)</f>
        <v>8.4817</v>
      </c>
      <c r="E197" s="57">
        <f t="shared" si="3"/>
        <v>-10.1614</v>
      </c>
    </row>
    <row r="198" spans="1:5" x14ac:dyDescent="0.4">
      <c r="A198" t="s">
        <v>461</v>
      </c>
      <c r="B198" t="s">
        <v>91</v>
      </c>
      <c r="C198" s="3">
        <f>[1]!s_west_netprofit_cagr($A198,C$1)</f>
        <v>117.4944</v>
      </c>
      <c r="D198" s="3">
        <f>[1]!s_west_netprofit_cagr($A198,D$1)</f>
        <v>106.8048</v>
      </c>
      <c r="E198" s="57">
        <f t="shared" si="3"/>
        <v>-10.689599999999999</v>
      </c>
    </row>
    <row r="199" spans="1:5" x14ac:dyDescent="0.4">
      <c r="A199" t="s">
        <v>326</v>
      </c>
      <c r="B199" t="s">
        <v>327</v>
      </c>
      <c r="C199" s="3">
        <f>[1]!s_west_netprofit_cagr($A199,C$1)</f>
        <v>31.459099999999999</v>
      </c>
      <c r="D199" s="3">
        <f>[1]!s_west_netprofit_cagr($A199,D$1)</f>
        <v>19.724499999999999</v>
      </c>
      <c r="E199" s="57">
        <f t="shared" si="3"/>
        <v>-11.7346</v>
      </c>
    </row>
    <row r="200" spans="1:5" x14ac:dyDescent="0.4">
      <c r="A200" t="s">
        <v>177</v>
      </c>
      <c r="B200" t="s">
        <v>178</v>
      </c>
      <c r="C200" s="3">
        <f>[1]!s_west_netprofit_cagr($A200,C$1)</f>
        <v>116.5711</v>
      </c>
      <c r="D200" s="3">
        <f>[1]!s_west_netprofit_cagr($A200,D$1)</f>
        <v>103.96939999999999</v>
      </c>
      <c r="E200" s="57">
        <f t="shared" si="3"/>
        <v>-12.601700000000008</v>
      </c>
    </row>
    <row r="201" spans="1:5" x14ac:dyDescent="0.4">
      <c r="A201" t="s">
        <v>263</v>
      </c>
      <c r="B201" t="s">
        <v>264</v>
      </c>
      <c r="C201" s="3">
        <f>[1]!s_west_netprofit_cagr($A201,C$1)</f>
        <v>54.968200000000003</v>
      </c>
      <c r="D201" s="3">
        <f>[1]!s_west_netprofit_cagr($A201,D$1)</f>
        <v>42.124000000000002</v>
      </c>
      <c r="E201" s="57">
        <f t="shared" si="3"/>
        <v>-12.844200000000001</v>
      </c>
    </row>
    <row r="202" spans="1:5" x14ac:dyDescent="0.4">
      <c r="A202" t="s">
        <v>346</v>
      </c>
      <c r="B202" t="s">
        <v>347</v>
      </c>
      <c r="C202" s="3">
        <f>[1]!s_west_netprofit_cagr($A202,C$1)</f>
        <v>252.13550000000001</v>
      </c>
      <c r="D202" s="3">
        <f>[1]!s_west_netprofit_cagr($A202,D$1)</f>
        <v>203.86500000000001</v>
      </c>
      <c r="E202" s="57">
        <f t="shared" si="3"/>
        <v>-48.270499999999998</v>
      </c>
    </row>
    <row r="203" spans="1:5" x14ac:dyDescent="0.4">
      <c r="A203" t="s">
        <v>169</v>
      </c>
      <c r="B203" t="s">
        <v>170</v>
      </c>
      <c r="C203" s="3">
        <f>[1]!s_west_netprofit_cagr($A203,C$1)</f>
        <v>246.79740000000001</v>
      </c>
      <c r="D203" s="3">
        <f>[1]!s_west_netprofit_cagr($A203,D$1)</f>
        <v>193.84360000000001</v>
      </c>
      <c r="E203" s="57">
        <f t="shared" si="3"/>
        <v>-52.953800000000001</v>
      </c>
    </row>
  </sheetData>
  <sortState xmlns:xlrd2="http://schemas.microsoft.com/office/spreadsheetml/2017/richdata2" ref="A1:E203">
    <sortCondition descending="1" ref="E1:E20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nv</vt:lpstr>
      <vt:lpstr>select</vt:lpstr>
      <vt:lpstr>spread_gf</vt:lpstr>
      <vt:lpstr>spread_g</vt:lpstr>
      <vt:lpstr>spread_ROE</vt:lpstr>
      <vt:lpstr>crowd_ROE</vt:lpstr>
      <vt:lpstr>crowd_DP</vt:lpstr>
      <vt:lpstr>nv_stra</vt:lpstr>
      <vt:lpstr>recommend</vt:lpstr>
      <vt:lpstr>Sheet1</vt:lpstr>
      <vt:lpstr>view</vt:lpstr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DA4390</dc:creator>
  <cp:lastModifiedBy>琳 邹</cp:lastModifiedBy>
  <dcterms:created xsi:type="dcterms:W3CDTF">2024-11-02T04:06:50Z</dcterms:created>
  <dcterms:modified xsi:type="dcterms:W3CDTF">2026-08-05T14:45:38Z</dcterms:modified>
</cp:coreProperties>
</file>